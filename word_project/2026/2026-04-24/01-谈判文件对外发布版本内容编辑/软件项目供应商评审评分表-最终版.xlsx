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说明" sheetId="1" r:id="rId1"/>
    <sheet name="资质评分" sheetId="2" r:id="rId2"/>
    <sheet name="定制开发评分" sheetId="3" r:id="rId3"/>
    <sheet name="驻场运维评分" sheetId="4" r:id="rId4"/>
    <sheet name="统一报价评分" sheetId="5" r:id="rId5"/>
    <sheet name="汇总排名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J3" authorId="0">
      <text>
        <r>
          <rPr>
            <sz val="10"/>
            <rFont val="宋体"/>
            <charset val="134"/>
          </rPr>
          <t>请输入供应商A针对本项目整包的有效报价。</t>
        </r>
      </text>
    </comment>
    <comment ref="K3" authorId="0">
      <text>
        <r>
          <rPr>
            <sz val="10"/>
            <rFont val="宋体"/>
            <charset val="134"/>
          </rPr>
          <t>请输入供应商B针对本项目整包的有效报价。</t>
        </r>
      </text>
    </comment>
    <comment ref="L3" authorId="0">
      <text>
        <r>
          <rPr>
            <sz val="10"/>
            <rFont val="宋体"/>
            <charset val="134"/>
          </rPr>
          <t>请输入供应商C针对本项目整包的有效报价。</t>
        </r>
      </text>
    </comment>
  </commentList>
</comments>
</file>

<file path=xl/sharedStrings.xml><?xml version="1.0" encoding="utf-8"?>
<sst xmlns="http://schemas.openxmlformats.org/spreadsheetml/2006/main" count="210" uniqueCount="176">
  <si>
    <t>软件项目供应商评审评分表（最终版）</t>
  </si>
  <si>
    <t>项目</t>
  </si>
  <si>
    <t>内容</t>
  </si>
  <si>
    <t>编制原则</t>
  </si>
  <si>
    <t>以资质评分、定制开发评分、驻场运维评分、统一报价四张评分页分别独立评分、汇总页统一加权为原则编制。</t>
  </si>
  <si>
    <t>资质评分规则</t>
  </si>
  <si>
    <t>第一页为100分制资质评分，作为综合评分组成部分。项目如有刚性资格门槛，应在采购文件中另行明确，不在本页以通过/不通过方式体现。</t>
  </si>
  <si>
    <t>权重规则</t>
  </si>
  <si>
    <t>同一项目必须对全部供应商采用统一权重，不得因供应商不同而分别设置权重。</t>
  </si>
  <si>
    <t>价格规则</t>
  </si>
  <si>
    <t>默认采用常见的最低有效报价比例法：最低有效报价/本供应商有效报价×价格分值。</t>
  </si>
  <si>
    <t>使用建议</t>
  </si>
  <si>
    <t>资质评分、定制开发评分、驻场运维评分、统一报价评分四页各自满分100分；在“汇总排名”页设置四项权重后自动汇总为综合评审得分。</t>
  </si>
  <si>
    <t>使用步骤</t>
  </si>
  <si>
    <t>1. 在“资质评分”页录入各供应商原始分；第一页细项分值合计为100分。</t>
  </si>
  <si>
    <t>2. 在“定制开发评分”和“驻场运维评分”页分别录入原始分；每页细项分值合计均为100分。</t>
  </si>
  <si>
    <t>3. 在“统一报价评分”页录入各供应商针对本项目整包的有效报价；本页满分100分。</t>
  </si>
  <si>
    <t>4. 在“汇总排名”页统一设置资质评分、定制开发、驻场运维、统一报价四项权重，四项权重合计应为100%。</t>
  </si>
  <si>
    <t>5. 如采购文件另有专门价格评审办法、专门资格条件或评分细则，应在发文前按项目文件统一调整，不得在评审中临时改动。</t>
  </si>
  <si>
    <t>推荐权重示例</t>
  </si>
  <si>
    <t>资质评分权重</t>
  </si>
  <si>
    <t>定制开发权重</t>
  </si>
  <si>
    <t>驻场运维权重</t>
  </si>
  <si>
    <t>统一报价权重</t>
  </si>
  <si>
    <t>权重合计</t>
  </si>
  <si>
    <t>适用说明</t>
  </si>
  <si>
    <t>纯定制开发项目</t>
  </si>
  <si>
    <t>适用于以需求调研、设计开发、测试上线为主的项目。</t>
  </si>
  <si>
    <t>纯驻场运维项目</t>
  </si>
  <si>
    <t>适用于以驻场支持、故障处理、持续服务为主的项目。</t>
  </si>
  <si>
    <t>综合服务项目</t>
  </si>
  <si>
    <t>适用于开发建设、驻场保障及整包报价同时纳入综合评审的项目。</t>
  </si>
  <si>
    <t>建议取证材料</t>
  </si>
  <si>
    <t>- 营业执照、税务开票能力证明、信用承诺或信用查询结果。</t>
  </si>
  <si>
    <t>- 同类项目合同关键页、验收单、发票或回款证明等业绩支撑材料。</t>
  </si>
  <si>
    <t>- 项目经理及核心成员简历、社保或劳动关系证明、岗位分工表。</t>
  </si>
  <si>
    <t>- 总体技术方案、实施计划、WBS/里程碑、风险控制方案、服务承诺书。</t>
  </si>
  <si>
    <t>- 体系认证、软件著作权、行业资质、保密/安全承诺等证明材料。</t>
  </si>
  <si>
    <t>资质评分</t>
  </si>
  <si>
    <t>适用于对供应商企业基础能力、财务实力、同类项目业绩、企业信誉及基础资质等内容进行综合评分。本页作为综合评审组成部分，页内满分100分。</t>
  </si>
  <si>
    <t>填写规则：仅录入蓝色单元格；专家原始分不得超过C列分值；本页统计供应商基础资质与综合能力得分，不再设置通过/不通过结论。</t>
  </si>
  <si>
    <t>评审大项</t>
  </si>
  <si>
    <t>评审子项</t>
  </si>
  <si>
    <t>分值</t>
  </si>
  <si>
    <t>评分标准</t>
  </si>
  <si>
    <t>评分依据/证明材料</t>
  </si>
  <si>
    <t>诚迈科技原始分</t>
  </si>
  <si>
    <t>晶石科技原始分</t>
  </si>
  <si>
    <t>南京亿顺弘原始分</t>
  </si>
  <si>
    <t>备注</t>
  </si>
  <si>
    <t>企业规模与综合实力</t>
  </si>
  <si>
    <t>根据近三年平均人均资产额、人均利润水平、纳税规模及企业整体实力综合评定。指标表现优秀、企业规模及综合实力较强，得20分；表现较好，得15-19分；表现一般，得8-14分；较弱或未提供有效证明材料，得0-7分。</t>
  </si>
  <si>
    <t>近三年审计报告、纳税证明、企业基本情况说明等。</t>
  </si>
  <si>
    <t>财务状况</t>
  </si>
  <si>
    <t>根据近三年平均净利率、主营业务收入、盈利稳定性和财务健康程度综合评定。财务状况良好、持续盈利能力强、资金实力稳定，得20分；财务状况较好，得15-19分；财务状况一般，得8-14分；较弱、出现连续亏损或未提供有效证明材料，得0-7分。</t>
  </si>
  <si>
    <t>近三年审计报告、财务报表及相关财务情况说明等。</t>
  </si>
  <si>
    <t>同类项目业绩</t>
  </si>
  <si>
    <t>以投标截止时间前三年内的同类项目合同为准，结合合同数量、合同金额、项目类型匹配度及验收情况综合评定。业绩数量充足、至少提供1份30万元及以上同类项目合同，且验收证明完整、相关性高，得20分；业绩较好，得15-19分；业绩一般，得8-14分；业绩较少、相关性较弱、金额不足或证明材料不完整，得0-7分。</t>
  </si>
  <si>
    <t>同类项目合同关键页、验收证明、用户评价材料、项目成果说明、发票或回款证明等。</t>
  </si>
  <si>
    <t>企业信誉与合规情况</t>
  </si>
  <si>
    <t>近三年无重大违法失信、无重大质量安全事故、无严重违约情形，信用记录良好，响应材料真实、完整、可核验，得20分；存在轻微瑕疵但不影响实质履约能力，得15-19分；信用或合规支撑一般，得8-14分；存在严重失信、重大违法违规、严重违约或材料失实情形，得0-7分。</t>
  </si>
  <si>
    <t>信用承诺函、信用查询结果、无重大违法记录声明、无重大质量安全事故声明、材料真实性承诺等。</t>
  </si>
  <si>
    <t>基础资质、安全保密与专门条件响应</t>
  </si>
  <si>
    <t>具备有效主体资格，能够开具合法合规发票，满足项目要求的安全、保密及现场管理要求，并对采购文件规定的专门资质、授权及商务条款作出完整响应，得20分；响应较完整，得15-19分；响应一般或部分材料欠缺，得8-14分；缺少关键资质、授权、安全保密承诺或专门条件响应明显不足，得0-7分。</t>
  </si>
  <si>
    <t>营业执照、开票能力证明、保密承诺、安全管理制度、专项资质、授权文件、商务响应文件等。</t>
  </si>
  <si>
    <t>资质评分小计</t>
  </si>
  <si>
    <t>本行自动汇总本页技术商务得分，不含统一报价得分。</t>
  </si>
  <si>
    <t>定制开发评分</t>
  </si>
  <si>
    <t>适用于以需求调研、系统设计、开发测试、上线交付为主的软件项目。本页按“开发特有能力”为主设置评分项，已对与驻场运维页重复的通用项做去重处理，页内满分 100 分。</t>
  </si>
  <si>
    <t>填写规则：仅录入蓝色单元格；专家原始分不得超过 C 列分值；本页仅统计技术商务分，不含统一报价得分。</t>
  </si>
  <si>
    <t>项目理解与需求分析</t>
  </si>
  <si>
    <t>需求理解与场景匹配度</t>
  </si>
  <si>
    <t>对项目背景、建设目标、核心需求、业务场景和目标拆解理解准确，问题识别到位且针对性强，得 15 分；理解较准确、场景匹配较好但分析深度一般，得 8-14 分；理解偏差明显、针对性不足或内容空泛，得 0-7 分。</t>
  </si>
  <si>
    <t>需求响应、现状分析、问题清单、项目目标说明、业务场景分析、用户画像、流程梳理成果。</t>
  </si>
  <si>
    <t>范围边界与关键难点识别</t>
  </si>
  <si>
    <t>对项目边界、接口边界和关键难点识别完整，得 6 分；识别基本到位，得 3-5 分；识别不足，得 0-2 分。</t>
  </si>
  <si>
    <t>边界清单、关键风险点、约束条件说明。</t>
  </si>
  <si>
    <t>技术方案与架构设计</t>
  </si>
  <si>
    <t>总体架构与功能方案合理性</t>
  </si>
  <si>
    <t>总体架构完整、技术路线成熟可行，功能设计覆盖主要需求并体现关键场景，与项目目标高度匹配，得 19 分；方案较完整、合理性较好，得 10-18 分；架构或功能方案缺项明显、合理性较弱，得 0-9 分。</t>
  </si>
  <si>
    <t>总体架构图、技术选型说明、部署方案、功能清单、原型图、模块设计说明。</t>
  </si>
  <si>
    <t>接口、数据与安全设计</t>
  </si>
  <si>
    <t>接口衔接、数据流向、安全控制设计清楚，得 8 分；基本具备，得 4-7 分；说明不足，得 0-3 分。</t>
  </si>
  <si>
    <t>接口清单、数据模型、安全方案。</t>
  </si>
  <si>
    <t>可扩展性与可实施性</t>
  </si>
  <si>
    <t>方案具备扩展性、兼容性和可实施路径，得 7 分；一般，得 4-6 分；可实施性弱，得 0-3 分。</t>
  </si>
  <si>
    <t>实施路径、环境适配说明、扩展设计。</t>
  </si>
  <si>
    <t>实施计划与项目管理</t>
  </si>
  <si>
    <t>实施计划、风险与质量控制</t>
  </si>
  <si>
    <t>阶段划分、里程碑、关键交付节点清晰可执行，且具备完整的风险识别、预警、应对和质量控制机制，得 15 分；计划较清晰、风险和质量控制机制基本可行，得 8-14 分；安排粗略或控制机制缺失，得 0-7 分。</t>
  </si>
  <si>
    <t>WBS、里程碑计划、甘特图、风险台账、测试策略、质量控制流程。</t>
  </si>
  <si>
    <t>交付物定义与验收安排</t>
  </si>
  <si>
    <t>交付物清单、输出形式、验收方式明确，得 6 分；基本明确，得 3-5 分；不明确，得 0-2 分。</t>
  </si>
  <si>
    <t>交付物清单、验收计划、文档目录。</t>
  </si>
  <si>
    <t>团队配置与履约能力</t>
  </si>
  <si>
    <t>项目团队配置与履约能力</t>
  </si>
  <si>
    <t>项目经理及核心成员经验丰富、履历与项目高度匹配，产品、设计、开发、测试、实施等关键岗位配置齐全且职责清晰，得 14 分；基本匹配且岗位较齐备，得 8-13 分；匹配度较低或岗位明显缺失，得 0-7 分。</t>
  </si>
  <si>
    <t>人员简历、项目经历、证书、社保证明、组织架构图、岗位分工、人员清单。</t>
  </si>
  <si>
    <t>软件交付经验与技术能力</t>
  </si>
  <si>
    <t>同类软件交付经验与技术能力</t>
  </si>
  <si>
    <t>同类案例数量充足、与本项目行业和复杂度高度相关，且具备与项目匹配的体系认证或专业资质、研发能力证明，得 10 分；案例或资质匹配度一般，得 5-9 分；案例较弱或无有效资质，得 0-4 分。</t>
  </si>
  <si>
    <t>软件开发或系统建设项目合同关键页、验收证明、成果材料、研发类资质、软著、专利、技术能力证明。</t>
  </si>
  <si>
    <t>技术商务小计</t>
  </si>
  <si>
    <t>驻场运维评分</t>
  </si>
  <si>
    <t>适用于以驻场研发、运维支持、持续服务和响应保障为主的项目。本页按“驻场运维特有能力”为主设置评分项，已对与定制开发页重复的通用项做去重处理，页内满分 100 分。</t>
  </si>
  <si>
    <t>服务理解与方案设计</t>
  </si>
  <si>
    <t>服务范围与流程理解</t>
  </si>
  <si>
    <t>对服务范围、职责边界、支持边界理解准确，服务流程、工单流转、例会与报告机制完整，得 13 分；基本准确且机制较完整，得 7-12 分；理解偏差明显或机制不足，得 0-6 分。</t>
  </si>
  <si>
    <t>服务方案、范围说明、职责分工、服务流程图、报告模板、例会机制。</t>
  </si>
  <si>
    <t>服务方案可执行性</t>
  </si>
  <si>
    <t>方案执行路径清晰、适配采购场景，得 6 分；一般，得 3-5 分；可执行性弱，得 0-2 分。</t>
  </si>
  <si>
    <t>实施路径、现场协同方案。</t>
  </si>
  <si>
    <t>驻场与响应保障</t>
  </si>
  <si>
    <t>驻场人员配置与稳定性保障</t>
  </si>
  <si>
    <t>驻场人员数量充分、岗位结构合理、关键岗位齐备，且稳定性保障和替补机制明确，得 20 分；基本满足且稳定性安排较清晰，得 11-19 分；人员投入明显不足或替补机制较弱，得 0-10 分。</t>
  </si>
  <si>
    <t>驻场清单、岗位说明、资源投入计划、替补名单、稳定性承诺、人员管理机制。</t>
  </si>
  <si>
    <t>响应时效与应急处置能力</t>
  </si>
  <si>
    <t>响应时效、升级路径、闭环机制明确且优于基本要求，应急预案、重大故障处置和专项支撑能力强，得 20 分；基本满足要求，得 11-19 分；响应或应急处置能力较弱，得 0-10 分。</t>
  </si>
  <si>
    <t>SLA、升级流程、值守安排、应急预案、值班机制、历史案例说明。</t>
  </si>
  <si>
    <t>持续服务与知识交接</t>
  </si>
  <si>
    <t>知识交接与持续优化机制</t>
  </si>
  <si>
    <t>知识沉淀、文档维护、培训交接安排完整，具备持续优化、例会复盘、改进闭环机制，得 14 分；较完整，得 8-13 分；安排或机制不足，得 0-7 分。</t>
  </si>
  <si>
    <t>知识库目录、交接计划、培训方案、复盘模板、改进机制、周报或月报样例。</t>
  </si>
  <si>
    <t>同类项目经验与服务治理能力</t>
  </si>
  <si>
    <t>同类项目案例、资质与服务治理能力</t>
  </si>
  <si>
    <t>具备较丰富的同类项目实施经验，案例与本项目业务场景、服务方式和复杂程度匹配度高，同时具备与项目实施、驻场服务相关的资质认证、服务管理制度和SLA治理机制，得15分；项目经验或服务治理能力较好，得8-14分；同类项目经验较少、匹配度一般，或资质及治理机制支撑较弱，得0-7分。</t>
  </si>
  <si>
    <t>同类项目合同关键页、验收证明、用户评价材料、项目成果说明、相关资质证书、服务管理制度文件、SLA治理机制说明等。</t>
  </si>
  <si>
    <t>商务响应与文件质量</t>
  </si>
  <si>
    <t>商务响应与文件完整性</t>
  </si>
  <si>
    <t>商务承诺明确、违约处理和资源补偿机制清晰，响应文件完整、结构清晰、排版规范、检索方便，得 12 分；整体较好，得 7-11 分；较弱，得 0-6 分。</t>
  </si>
  <si>
    <t>商务承诺函、违约处理条款响应、响应文件目录、盖章签字、版本控制。</t>
  </si>
  <si>
    <t>统一报价评分</t>
  </si>
  <si>
    <t>适用于本项目整包统一报价评分。供应商仅填写一份针对本次项目完整范围的有效报价；本页默认满分 100 分。</t>
  </si>
  <si>
    <t>诚迈科技有效报价</t>
  </si>
  <si>
    <t>晶石科技有效报价</t>
  </si>
  <si>
    <t>南京亿顺弘有效报价</t>
  </si>
  <si>
    <t>填写规则：仅录入蓝色单元格；报价应为本项目整包统一有效报价，不再区分定制开发和驻场运维分别报价。</t>
  </si>
  <si>
    <t>诚迈科技得分</t>
  </si>
  <si>
    <t>晶石科技得分</t>
  </si>
  <si>
    <t>南京亿顺弘得分</t>
  </si>
  <si>
    <t>价格评分</t>
  </si>
  <si>
    <t>统一报价得分</t>
  </si>
  <si>
    <t>价格部分采用最低有效报价比例法，最低有效报价得满分 100 分，其他供应商按“最低有效报价/本供应商有效报价×100”折算。</t>
  </si>
  <si>
    <t>有效报价表、澄清函、报价一览表等。</t>
  </si>
  <si>
    <t>合计</t>
  </si>
  <si>
    <t>本页满分 100 分。</t>
  </si>
  <si>
    <t>综合评审汇总及排名</t>
  </si>
  <si>
    <t>项目统一权重设置</t>
  </si>
  <si>
    <t>数值</t>
  </si>
  <si>
    <t>说明</t>
  </si>
  <si>
    <t>资质评分权重（%）</t>
  </si>
  <si>
    <t>定制开发权重（%）</t>
  </si>
  <si>
    <t>驻场运维权重（%）</t>
  </si>
  <si>
    <t>统一报价权重（%）</t>
  </si>
  <si>
    <t>权重合计（%）</t>
  </si>
  <si>
    <t>指标</t>
  </si>
  <si>
    <t>诚迈科技</t>
  </si>
  <si>
    <t>晶石科技</t>
  </si>
  <si>
    <t>南京亿顺弘</t>
  </si>
  <si>
    <t>资质评分总分</t>
  </si>
  <si>
    <t>引用“资质评分”页评分小计，满分100分。</t>
  </si>
  <si>
    <t>定制开发总分</t>
  </si>
  <si>
    <t>引用“定制开发评分”页技术商务小计，满分100分。</t>
  </si>
  <si>
    <t>驻场运维总分</t>
  </si>
  <si>
    <t>引用“驻场运维评分”页技术商务小计，满分100分。</t>
  </si>
  <si>
    <t>统一报价总分</t>
  </si>
  <si>
    <t>引用“统一报价评分”页合计分，满分100分。</t>
  </si>
  <si>
    <t>综合评审得分</t>
  </si>
  <si>
    <t>综合得分=资质评分×资质评分权重+定制开发总分×定制开发权重+驻场运维总分×驻场运维权重+统一报价总分×统一报价权重。</t>
  </si>
  <si>
    <t>综合排名</t>
  </si>
  <si>
    <t>按综合得分由高到低排名，分值相同则并列。</t>
  </si>
  <si>
    <t>补充说明</t>
  </si>
  <si>
    <t>1. 如项目只适用部分评分页，可将不适用部分权重设置为 0。</t>
  </si>
  <si>
    <t>2. 请确保 B4:B7 四项权重合计为 100；B8 为自动校验值。</t>
  </si>
  <si>
    <t>3. 如采购文件采用基准价法或其他价格评审办法，应在“统一报价评分”页统一替换价格公式。</t>
  </si>
  <si>
    <t>4. 本模板为通用正式版，项目特有的资质门槛、授权要求、涉密要求应根据采购文件另行补充。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</si>
</sst>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</font>
    <font>
      <b/>
      <sz val="16"/>
      <name val="宋体"/>
      <charset val="134"/>
    </font>
    <font>
      <b/>
      <sz val="10"/>
      <color rgb="FFFFFFFF"/>
      <name val="宋体"/>
      <charset val="134"/>
    </font>
    <font>
      <b/>
      <sz val="11"/>
      <name val="宋体"/>
      <charset val="134"/>
    </font>
    <font>
      <sz val="10"/>
      <color rgb="FF0000FF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8" borderId="1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4">
      <alignment vertical="center"/>
    </xf>
    <xf numFmtId="0" fontId="13" fillId="0" borderId="14">
      <alignment vertical="center"/>
    </xf>
    <xf numFmtId="0" fontId="14" fillId="0" borderId="15">
      <alignment vertical="center"/>
    </xf>
    <xf numFmtId="0" fontId="14" fillId="0" borderId="0">
      <alignment vertical="center"/>
    </xf>
    <xf numFmtId="0" fontId="15" fillId="9" borderId="5">
      <alignment vertical="center"/>
    </xf>
    <xf numFmtId="0" fontId="16" fillId="10" borderId="16">
      <alignment vertical="center"/>
    </xf>
    <xf numFmtId="0" fontId="17" fillId="10" borderId="5">
      <alignment vertical="center"/>
    </xf>
    <xf numFmtId="0" fontId="18" fillId="11" borderId="17">
      <alignment vertical="center"/>
    </xf>
    <xf numFmtId="0" fontId="19" fillId="0" borderId="18">
      <alignment vertical="center"/>
    </xf>
    <xf numFmtId="0" fontId="20" fillId="0" borderId="19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0" fillId="36" borderId="0">
      <alignment vertical="center"/>
    </xf>
    <xf numFmtId="0" fontId="0" fillId="37" borderId="0">
      <alignment vertical="center"/>
    </xf>
    <xf numFmtId="0" fontId="24" fillId="38" borderId="0">
      <alignment vertical="center"/>
    </xf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5" fillId="6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2" fontId="5" fillId="6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2" fontId="4" fillId="5" borderId="4" xfId="0" applyNumberFormat="1" applyFont="1" applyFill="1" applyBorder="1" applyAlignment="1">
      <alignment horizontal="center" vertical="center" wrapText="1"/>
    </xf>
    <xf numFmtId="2" fontId="4" fillId="5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/>
    </xf>
    <xf numFmtId="2" fontId="5" fillId="6" borderId="6" xfId="0" applyNumberFormat="1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left" vertical="top" wrapText="1"/>
    </xf>
    <xf numFmtId="0" fontId="0" fillId="0" borderId="4" xfId="0" applyBorder="1"/>
    <xf numFmtId="0" fontId="3" fillId="7" borderId="5" xfId="0" applyFont="1" applyFill="1" applyBorder="1" applyAlignment="1">
      <alignment horizontal="center" vertical="center" wrapText="1"/>
    </xf>
    <xf numFmtId="2" fontId="5" fillId="6" borderId="5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0" fillId="0" borderId="9" xfId="0" applyBorder="1"/>
    <xf numFmtId="0" fontId="3" fillId="4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11" xfId="0" applyBorder="1"/>
    <xf numFmtId="0" fontId="0" fillId="0" borderId="1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showGridLines="0" zoomScale="145" zoomScaleNormal="145" workbookViewId="0">
      <selection activeCell="H31" sqref="$A20:$XFD24 H31"/>
    </sheetView>
  </sheetViews>
  <sheetFormatPr defaultColWidth="9" defaultRowHeight="14" outlineLevelCol="7"/>
  <cols>
    <col min="1" max="1" width="18" customWidth="1"/>
    <col min="2" max="4" width="14" customWidth="1"/>
    <col min="5" max="5" width="15.3636363636364" customWidth="1"/>
    <col min="6" max="6" width="20" customWidth="1"/>
    <col min="7" max="7" width="14" customWidth="1"/>
    <col min="8" max="8" width="58.1181818181818" customWidth="1"/>
  </cols>
  <sheetData>
    <row r="1" ht="24" customHeight="1" spans="1:8">
      <c r="A1" s="35" t="s">
        <v>0</v>
      </c>
      <c r="B1" s="36"/>
      <c r="C1" s="36"/>
      <c r="D1" s="36"/>
      <c r="E1" s="36"/>
      <c r="F1" s="36"/>
      <c r="G1" s="36"/>
      <c r="H1" s="27"/>
    </row>
    <row r="3" spans="1:8">
      <c r="A3" s="18" t="s">
        <v>1</v>
      </c>
      <c r="B3" s="18" t="s">
        <v>2</v>
      </c>
      <c r="C3" s="36"/>
      <c r="D3" s="36"/>
      <c r="E3" s="36"/>
      <c r="F3" s="36"/>
      <c r="G3" s="36"/>
      <c r="H3" s="27"/>
    </row>
    <row r="4" spans="1:8">
      <c r="A4" s="37" t="s">
        <v>3</v>
      </c>
      <c r="B4" s="38" t="s">
        <v>4</v>
      </c>
      <c r="C4" s="36"/>
      <c r="D4" s="36"/>
      <c r="E4" s="36"/>
      <c r="F4" s="36"/>
      <c r="G4" s="36"/>
      <c r="H4" s="27"/>
    </row>
    <row r="5" spans="1:8">
      <c r="A5" s="37" t="s">
        <v>5</v>
      </c>
      <c r="B5" s="38" t="s">
        <v>6</v>
      </c>
      <c r="C5" s="36"/>
      <c r="D5" s="36"/>
      <c r="E5" s="36"/>
      <c r="F5" s="36"/>
      <c r="G5" s="36"/>
      <c r="H5" s="27"/>
    </row>
    <row r="6" spans="1:8">
      <c r="A6" s="37" t="s">
        <v>7</v>
      </c>
      <c r="B6" s="38" t="s">
        <v>8</v>
      </c>
      <c r="C6" s="36"/>
      <c r="D6" s="36"/>
      <c r="E6" s="36"/>
      <c r="F6" s="36"/>
      <c r="G6" s="36"/>
      <c r="H6" s="27"/>
    </row>
    <row r="7" spans="1:8">
      <c r="A7" s="37" t="s">
        <v>9</v>
      </c>
      <c r="B7" s="38" t="s">
        <v>10</v>
      </c>
      <c r="C7" s="36"/>
      <c r="D7" s="36"/>
      <c r="E7" s="36"/>
      <c r="F7" s="36"/>
      <c r="G7" s="36"/>
      <c r="H7" s="27"/>
    </row>
    <row r="8" spans="1:8">
      <c r="A8" s="37" t="s">
        <v>11</v>
      </c>
      <c r="B8" s="38" t="s">
        <v>12</v>
      </c>
      <c r="C8" s="36"/>
      <c r="D8" s="36"/>
      <c r="E8" s="36"/>
      <c r="F8" s="36"/>
      <c r="G8" s="36"/>
      <c r="H8" s="27"/>
    </row>
    <row r="9" spans="1:8">
      <c r="A9" s="37" t="s">
        <v>13</v>
      </c>
      <c r="B9" s="38"/>
      <c r="C9" s="36"/>
      <c r="D9" s="36"/>
      <c r="E9" s="36"/>
      <c r="F9" s="36"/>
      <c r="G9" s="36"/>
      <c r="H9" s="27"/>
    </row>
    <row r="10" spans="1:8">
      <c r="A10" t="s">
        <v>14</v>
      </c>
    </row>
    <row r="11" spans="1:8">
      <c r="A11" s="18" t="s">
        <v>15</v>
      </c>
      <c r="B11" s="36"/>
      <c r="C11" s="36"/>
      <c r="D11" s="36"/>
      <c r="E11" s="36"/>
      <c r="F11" s="36"/>
      <c r="G11" s="36"/>
      <c r="H11" s="27"/>
    </row>
    <row r="12" spans="1:8">
      <c r="A12" s="39" t="s">
        <v>16</v>
      </c>
      <c r="B12" s="40"/>
      <c r="C12" s="40"/>
      <c r="D12" s="40"/>
      <c r="E12" s="40"/>
      <c r="F12" s="40"/>
      <c r="G12" s="40"/>
      <c r="H12" s="41"/>
    </row>
    <row r="13" spans="1:8">
      <c r="A13" s="12" t="s">
        <v>17</v>
      </c>
      <c r="B13" s="2"/>
      <c r="C13" s="2"/>
      <c r="D13" s="2"/>
      <c r="E13" s="2"/>
      <c r="F13" s="2"/>
      <c r="G13" s="2"/>
      <c r="H13" s="3"/>
    </row>
    <row r="14" spans="1:8">
      <c r="A14" s="12" t="s">
        <v>18</v>
      </c>
      <c r="B14" s="2"/>
      <c r="C14" s="2"/>
      <c r="D14" s="2"/>
      <c r="E14" s="2"/>
      <c r="F14" s="2"/>
      <c r="G14" s="2"/>
      <c r="H14" s="3"/>
    </row>
    <row r="15" ht="24" customHeight="1" spans="1:8">
      <c r="A15" s="12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4" t="s">
        <v>24</v>
      </c>
      <c r="G15" s="8" t="s">
        <v>25</v>
      </c>
      <c r="H15" s="3"/>
    </row>
    <row r="16" ht="24" customHeight="1" spans="1:8">
      <c r="A16" s="12" t="s">
        <v>26</v>
      </c>
      <c r="B16" s="4">
        <v>20</v>
      </c>
      <c r="C16" s="4">
        <v>50</v>
      </c>
      <c r="D16" s="4">
        <v>0</v>
      </c>
      <c r="E16" s="4">
        <v>30</v>
      </c>
      <c r="F16" s="4">
        <v>100</v>
      </c>
      <c r="G16" s="8" t="s">
        <v>27</v>
      </c>
      <c r="H16" s="3"/>
    </row>
    <row r="17" ht="24" customHeight="1" spans="1:8">
      <c r="A17" s="12" t="s">
        <v>28</v>
      </c>
      <c r="B17" s="4">
        <v>20</v>
      </c>
      <c r="C17" s="4">
        <v>0</v>
      </c>
      <c r="D17" s="4">
        <v>50</v>
      </c>
      <c r="E17" s="4">
        <v>30</v>
      </c>
      <c r="F17" s="4">
        <v>100</v>
      </c>
      <c r="G17" s="8" t="s">
        <v>29</v>
      </c>
      <c r="H17" s="3"/>
    </row>
    <row r="18" ht="24" customHeight="1" spans="1:8">
      <c r="A18" s="12" t="s">
        <v>30</v>
      </c>
      <c r="B18" s="4">
        <v>20</v>
      </c>
      <c r="C18" s="4">
        <v>30</v>
      </c>
      <c r="D18" s="4">
        <v>20</v>
      </c>
      <c r="E18" s="4">
        <v>30</v>
      </c>
      <c r="F18" s="4">
        <v>100</v>
      </c>
      <c r="G18" s="8" t="s">
        <v>31</v>
      </c>
      <c r="H18" s="3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 t="s">
        <v>32</v>
      </c>
      <c r="B20" s="36"/>
      <c r="C20" s="36"/>
      <c r="D20" s="36"/>
      <c r="E20" s="36"/>
      <c r="F20" s="36"/>
      <c r="G20" s="36"/>
      <c r="H20" s="27"/>
    </row>
    <row r="21" spans="1:8">
      <c r="A21" s="39" t="s">
        <v>33</v>
      </c>
      <c r="B21" s="40"/>
      <c r="C21" s="40"/>
      <c r="D21" s="40"/>
      <c r="E21" s="40"/>
      <c r="F21" s="40"/>
      <c r="G21" s="40"/>
      <c r="H21" s="41"/>
    </row>
    <row r="22" spans="1:8">
      <c r="A22" s="12" t="s">
        <v>34</v>
      </c>
      <c r="B22" s="2"/>
      <c r="C22" s="2"/>
      <c r="D22" s="2"/>
      <c r="E22" s="2"/>
      <c r="F22" s="2"/>
      <c r="G22" s="2"/>
      <c r="H22" s="3"/>
    </row>
    <row r="23" spans="1:8">
      <c r="A23" s="12" t="s">
        <v>35</v>
      </c>
      <c r="B23" s="2"/>
      <c r="C23" s="2"/>
      <c r="D23" s="2"/>
      <c r="E23" s="2"/>
      <c r="F23" s="2"/>
      <c r="G23" s="2"/>
      <c r="H23" s="3"/>
    </row>
    <row r="24" spans="1:8">
      <c r="A24" s="12" t="s">
        <v>36</v>
      </c>
      <c r="B24" s="2"/>
      <c r="C24" s="2"/>
      <c r="D24" s="2"/>
      <c r="E24" s="2"/>
      <c r="F24" s="2"/>
      <c r="G24" s="2"/>
      <c r="H24" s="3"/>
    </row>
    <row r="25" spans="1:8">
      <c r="A25" s="12" t="s">
        <v>37</v>
      </c>
      <c r="B25" s="2"/>
      <c r="C25" s="2"/>
      <c r="D25" s="2"/>
      <c r="E25" s="2"/>
      <c r="F25" s="2"/>
      <c r="G25" s="2"/>
      <c r="H25" s="3"/>
    </row>
  </sheetData>
  <mergeCells count="22">
    <mergeCell ref="A1:H1"/>
    <mergeCell ref="B3:H3"/>
    <mergeCell ref="B4:H4"/>
    <mergeCell ref="B5:H5"/>
    <mergeCell ref="B6:H6"/>
    <mergeCell ref="B7:H7"/>
    <mergeCell ref="B8:H8"/>
    <mergeCell ref="B9:H9"/>
    <mergeCell ref="A11:H11"/>
    <mergeCell ref="A12:H12"/>
    <mergeCell ref="A13:H13"/>
    <mergeCell ref="A14:H14"/>
    <mergeCell ref="G15:H15"/>
    <mergeCell ref="G16:H16"/>
    <mergeCell ref="G17:H17"/>
    <mergeCell ref="G18:H18"/>
    <mergeCell ref="A20:H20"/>
    <mergeCell ref="A21:H21"/>
    <mergeCell ref="A22:H22"/>
    <mergeCell ref="A23:H23"/>
    <mergeCell ref="A24:H24"/>
    <mergeCell ref="A25:H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showGridLines="0" tabSelected="1" zoomScale="130" zoomScaleNormal="130" workbookViewId="0">
      <selection activeCell="C9" sqref="C9"/>
    </sheetView>
  </sheetViews>
  <sheetFormatPr defaultColWidth="9" defaultRowHeight="14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7" width="15.8" customWidth="1"/>
    <col min="8" max="8" width="16.8" customWidth="1"/>
    <col min="9" max="9" width="18" customWidth="1"/>
  </cols>
  <sheetData>
    <row r="1" ht="24" customHeight="1" spans="1:9">
      <c r="A1" s="1" t="s">
        <v>38</v>
      </c>
      <c r="B1" s="2"/>
      <c r="C1" s="2"/>
      <c r="D1" s="2"/>
      <c r="E1" s="2"/>
      <c r="F1" s="2"/>
      <c r="G1" s="2"/>
      <c r="H1" s="2"/>
      <c r="I1" s="3"/>
    </row>
    <row r="2" ht="30" customHeight="1" spans="1:9">
      <c r="A2" s="16" t="s">
        <v>39</v>
      </c>
      <c r="B2" s="2"/>
      <c r="C2" s="2"/>
      <c r="D2" s="2"/>
      <c r="E2" s="2"/>
      <c r="F2" s="2"/>
      <c r="G2" s="2"/>
      <c r="H2" s="2"/>
      <c r="I2" s="3"/>
    </row>
    <row r="3" ht="22" customHeight="1" spans="1:9">
      <c r="A3" s="12" t="s">
        <v>40</v>
      </c>
      <c r="B3" s="2"/>
      <c r="C3" s="2"/>
      <c r="D3" s="2"/>
      <c r="E3" s="2"/>
      <c r="F3" s="2"/>
      <c r="G3" s="2"/>
      <c r="H3" s="2"/>
      <c r="I3" s="3"/>
    </row>
    <row r="4" ht="22" customHeight="1" spans="1:9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</row>
    <row r="5" ht="65" customHeight="1" spans="1:9">
      <c r="A5" s="30" t="s">
        <v>50</v>
      </c>
      <c r="B5" s="10" t="s">
        <v>50</v>
      </c>
      <c r="C5" s="10">
        <v>20</v>
      </c>
      <c r="D5" s="31" t="s">
        <v>51</v>
      </c>
      <c r="E5" s="31" t="s">
        <v>52</v>
      </c>
      <c r="F5" s="32"/>
      <c r="G5" s="32"/>
      <c r="H5" s="32"/>
      <c r="I5" s="10"/>
    </row>
    <row r="6" ht="65" customHeight="1" spans="1:9">
      <c r="A6" s="30" t="s">
        <v>53</v>
      </c>
      <c r="B6" s="10" t="s">
        <v>53</v>
      </c>
      <c r="C6" s="10">
        <v>20</v>
      </c>
      <c r="D6" s="31" t="s">
        <v>54</v>
      </c>
      <c r="E6" s="31" t="s">
        <v>55</v>
      </c>
      <c r="F6" s="32"/>
      <c r="G6" s="32"/>
      <c r="H6" s="32"/>
      <c r="I6" s="10"/>
    </row>
    <row r="7" ht="78" customHeight="1" spans="1:9">
      <c r="A7" s="30" t="s">
        <v>56</v>
      </c>
      <c r="B7" s="10" t="s">
        <v>56</v>
      </c>
      <c r="C7" s="10">
        <v>20</v>
      </c>
      <c r="D7" s="31" t="s">
        <v>57</v>
      </c>
      <c r="E7" s="31" t="s">
        <v>58</v>
      </c>
      <c r="F7" s="32"/>
      <c r="G7" s="32"/>
      <c r="H7" s="32"/>
      <c r="I7" s="10"/>
    </row>
    <row r="8" ht="65" customHeight="1" spans="1:9">
      <c r="A8" s="30" t="s">
        <v>59</v>
      </c>
      <c r="B8" s="10" t="s">
        <v>59</v>
      </c>
      <c r="C8" s="10">
        <v>20</v>
      </c>
      <c r="D8" s="31" t="s">
        <v>60</v>
      </c>
      <c r="E8" s="31" t="s">
        <v>61</v>
      </c>
      <c r="F8" s="32"/>
      <c r="G8" s="32"/>
      <c r="H8" s="32"/>
      <c r="I8" s="10"/>
    </row>
    <row r="9" ht="78" customHeight="1" spans="1:9">
      <c r="A9" s="30" t="s">
        <v>62</v>
      </c>
      <c r="B9" s="10" t="s">
        <v>62</v>
      </c>
      <c r="C9" s="10">
        <v>20</v>
      </c>
      <c r="D9" s="31" t="s">
        <v>63</v>
      </c>
      <c r="E9" s="31" t="s">
        <v>64</v>
      </c>
      <c r="F9" s="32"/>
      <c r="G9" s="32"/>
      <c r="H9" s="32"/>
      <c r="I9" s="10"/>
    </row>
    <row r="10" ht="26" customHeight="1" spans="1:9">
      <c r="A10" s="30" t="s">
        <v>65</v>
      </c>
      <c r="B10" s="10"/>
      <c r="C10" s="10">
        <v>100</v>
      </c>
      <c r="D10" s="31" t="s">
        <v>66</v>
      </c>
      <c r="E10" s="31"/>
      <c r="F10" s="32">
        <f>ROUND(SUM(F5:F9),2)</f>
        <v>0</v>
      </c>
      <c r="G10" s="32">
        <f>ROUND(SUM(G5:G9),2)</f>
        <v>0</v>
      </c>
      <c r="H10" s="32">
        <f>ROUND(SUM(H5:H9),2)</f>
        <v>0</v>
      </c>
      <c r="I10" s="10"/>
    </row>
  </sheetData>
  <mergeCells count="3">
    <mergeCell ref="A1:I1"/>
    <mergeCell ref="A2:I2"/>
    <mergeCell ref="A3:I3"/>
  </mergeCells>
  <dataValidations count="1">
    <dataValidation type="list" allowBlank="1" sqref="D10:F10 D5:E9">
      <formula1>"通过,不通过,待确认,不适用"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showGridLines="0" workbookViewId="0">
      <selection activeCell="F5" sqref="F5"/>
    </sheetView>
  </sheetViews>
  <sheetFormatPr defaultColWidth="9" defaultRowHeight="14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6" width="15.7909090909091" customWidth="1"/>
    <col min="7" max="7" width="15.3090909090909" customWidth="1"/>
    <col min="8" max="8" width="16.3636363636364" customWidth="1"/>
    <col min="9" max="9" width="18" customWidth="1"/>
  </cols>
  <sheetData>
    <row r="1" ht="24" customHeight="1" spans="1:9">
      <c r="A1" s="1" t="s">
        <v>67</v>
      </c>
      <c r="B1" s="2"/>
      <c r="C1" s="2"/>
      <c r="D1" s="2"/>
      <c r="E1" s="2"/>
      <c r="F1" s="2"/>
      <c r="G1" s="2"/>
      <c r="H1" s="2"/>
      <c r="I1" s="3"/>
    </row>
    <row r="2" spans="1:9">
      <c r="A2" s="16" t="s">
        <v>68</v>
      </c>
      <c r="B2" s="2"/>
      <c r="C2" s="2"/>
      <c r="D2" s="2"/>
      <c r="E2" s="2"/>
      <c r="F2" s="2"/>
      <c r="G2" s="2"/>
      <c r="H2" s="2"/>
      <c r="I2" s="3"/>
    </row>
    <row r="3" spans="1:9">
      <c r="A3" s="12" t="s">
        <v>69</v>
      </c>
      <c r="B3" s="2"/>
      <c r="C3" s="2"/>
      <c r="D3" s="2"/>
      <c r="E3" s="2"/>
      <c r="F3" s="2"/>
      <c r="G3" s="2"/>
      <c r="H3" s="2"/>
      <c r="I3" s="3"/>
    </row>
    <row r="4" spans="1:9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</row>
    <row r="5" ht="65" customHeight="1" spans="1:9">
      <c r="A5" s="30" t="s">
        <v>70</v>
      </c>
      <c r="B5" s="12" t="s">
        <v>71</v>
      </c>
      <c r="C5" s="10">
        <v>15</v>
      </c>
      <c r="D5" s="12" t="s">
        <v>72</v>
      </c>
      <c r="E5" s="12" t="s">
        <v>73</v>
      </c>
      <c r="F5" s="32"/>
      <c r="G5" s="32"/>
      <c r="H5" s="32"/>
      <c r="I5" s="12"/>
    </row>
    <row r="6" ht="26" customHeight="1" spans="1:9">
      <c r="A6" s="33"/>
      <c r="B6" s="12" t="s">
        <v>74</v>
      </c>
      <c r="C6" s="10">
        <v>6</v>
      </c>
      <c r="D6" s="12" t="s">
        <v>75</v>
      </c>
      <c r="E6" s="12" t="s">
        <v>76</v>
      </c>
      <c r="F6" s="32"/>
      <c r="G6" s="32"/>
      <c r="H6" s="32"/>
      <c r="I6" s="12"/>
    </row>
    <row r="7" ht="52" customHeight="1" spans="1:9">
      <c r="A7" s="30" t="s">
        <v>77</v>
      </c>
      <c r="B7" s="12" t="s">
        <v>78</v>
      </c>
      <c r="C7" s="10">
        <v>19</v>
      </c>
      <c r="D7" s="12" t="s">
        <v>79</v>
      </c>
      <c r="E7" s="12" t="s">
        <v>80</v>
      </c>
      <c r="F7" s="32"/>
      <c r="G7" s="32"/>
      <c r="H7" s="32"/>
      <c r="I7" s="12"/>
    </row>
    <row r="8" ht="26" customHeight="1" spans="1:9">
      <c r="A8" s="34"/>
      <c r="B8" s="12" t="s">
        <v>81</v>
      </c>
      <c r="C8" s="10">
        <v>8</v>
      </c>
      <c r="D8" s="12" t="s">
        <v>82</v>
      </c>
      <c r="E8" s="12" t="s">
        <v>83</v>
      </c>
      <c r="F8" s="32"/>
      <c r="G8" s="32"/>
      <c r="H8" s="32"/>
      <c r="I8" s="12"/>
    </row>
    <row r="9" ht="26" customHeight="1" spans="1:9">
      <c r="A9" s="33"/>
      <c r="B9" s="12" t="s">
        <v>84</v>
      </c>
      <c r="C9" s="10">
        <v>7</v>
      </c>
      <c r="D9" s="12" t="s">
        <v>85</v>
      </c>
      <c r="E9" s="12" t="s">
        <v>86</v>
      </c>
      <c r="F9" s="32"/>
      <c r="G9" s="32"/>
      <c r="H9" s="32"/>
      <c r="I9" s="12"/>
    </row>
    <row r="10" ht="52" customHeight="1" spans="1:9">
      <c r="A10" s="30" t="s">
        <v>87</v>
      </c>
      <c r="B10" s="12" t="s">
        <v>88</v>
      </c>
      <c r="C10" s="10">
        <v>15</v>
      </c>
      <c r="D10" s="12" t="s">
        <v>89</v>
      </c>
      <c r="E10" s="12" t="s">
        <v>90</v>
      </c>
      <c r="F10" s="32"/>
      <c r="G10" s="32"/>
      <c r="H10" s="32"/>
      <c r="I10" s="12"/>
    </row>
    <row r="11" ht="26" customHeight="1" spans="1:9">
      <c r="A11" s="33"/>
      <c r="B11" s="12" t="s">
        <v>91</v>
      </c>
      <c r="C11" s="10">
        <v>6</v>
      </c>
      <c r="D11" s="12" t="s">
        <v>92</v>
      </c>
      <c r="E11" s="12" t="s">
        <v>93</v>
      </c>
      <c r="F11" s="32"/>
      <c r="G11" s="32"/>
      <c r="H11" s="32"/>
      <c r="I11" s="12"/>
    </row>
    <row r="12" ht="52" customHeight="1" spans="1:9">
      <c r="A12" s="30" t="s">
        <v>94</v>
      </c>
      <c r="B12" s="12" t="s">
        <v>95</v>
      </c>
      <c r="C12" s="10">
        <v>14</v>
      </c>
      <c r="D12" s="12" t="s">
        <v>96</v>
      </c>
      <c r="E12" s="12" t="s">
        <v>97</v>
      </c>
      <c r="F12" s="32"/>
      <c r="G12" s="32"/>
      <c r="H12" s="32"/>
      <c r="I12" s="12"/>
    </row>
    <row r="13" ht="52" customHeight="1" spans="1:9">
      <c r="A13" s="30" t="s">
        <v>98</v>
      </c>
      <c r="B13" s="12" t="s">
        <v>99</v>
      </c>
      <c r="C13" s="10">
        <v>10</v>
      </c>
      <c r="D13" s="12" t="s">
        <v>100</v>
      </c>
      <c r="E13" s="12" t="s">
        <v>101</v>
      </c>
      <c r="F13" s="32"/>
      <c r="G13" s="32"/>
      <c r="H13" s="32"/>
      <c r="I13" s="12"/>
    </row>
    <row r="14" spans="1:9">
      <c r="A14" s="30" t="s">
        <v>102</v>
      </c>
      <c r="B14" s="3"/>
      <c r="C14" s="10">
        <v>100</v>
      </c>
      <c r="D14" s="12" t="s">
        <v>66</v>
      </c>
      <c r="E14" s="12"/>
      <c r="F14" s="32">
        <f>ROUND(SUM(F5:F13),2)</f>
        <v>0</v>
      </c>
      <c r="G14" s="32">
        <f>ROUND(SUM(G5:G13),2)</f>
        <v>0</v>
      </c>
      <c r="H14" s="32">
        <f>ROUND(SUM(H5:H13),2)</f>
        <v>0</v>
      </c>
      <c r="I14" s="12"/>
    </row>
  </sheetData>
  <mergeCells count="7">
    <mergeCell ref="A1:I1"/>
    <mergeCell ref="A2:I2"/>
    <mergeCell ref="A3:I3"/>
    <mergeCell ref="A14:B14"/>
    <mergeCell ref="A5:A6"/>
    <mergeCell ref="A7:A9"/>
    <mergeCell ref="A10:A11"/>
  </mergeCells>
  <dataValidations count="5">
    <dataValidation type="decimal" operator="between" allowBlank="1" sqref="F5:H5 F10:H10 F12:H12">
      <formula1>0</formula1>
      <formula2>8</formula2>
    </dataValidation>
    <dataValidation type="decimal" operator="between" allowBlank="1" sqref="F6:H6 F11:H11 F13:H13">
      <formula1>0</formula1>
      <formula2>7</formula2>
    </dataValidation>
    <dataValidation type="decimal" operator="between" allowBlank="1" sqref="F7:H7 F14:H14">
      <formula1>0</formula1>
      <formula2>6</formula2>
    </dataValidation>
    <dataValidation type="decimal" operator="between" allowBlank="1" sqref="F8:H8">
      <formula1>0</formula1>
      <formula2>10</formula2>
    </dataValidation>
    <dataValidation type="decimal" operator="between" allowBlank="1" sqref="F9:H9">
      <formula1>0</formula1>
      <formula2>9</formula2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showGridLines="0" workbookViewId="0">
      <selection activeCell="F5" sqref="F5"/>
    </sheetView>
  </sheetViews>
  <sheetFormatPr defaultColWidth="9" defaultRowHeight="14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6" width="15.7909090909091" customWidth="1"/>
    <col min="7" max="7" width="15.9818181818182" customWidth="1"/>
    <col min="8" max="8" width="16.8636363636364" customWidth="1"/>
    <col min="9" max="9" width="18" customWidth="1"/>
  </cols>
  <sheetData>
    <row r="1" ht="24" customHeight="1" spans="1:9">
      <c r="A1" s="1" t="s">
        <v>103</v>
      </c>
      <c r="B1" s="2"/>
      <c r="C1" s="2"/>
      <c r="D1" s="2"/>
      <c r="E1" s="2"/>
      <c r="F1" s="2"/>
      <c r="G1" s="2"/>
      <c r="H1" s="2"/>
      <c r="I1" s="3"/>
    </row>
    <row r="2" spans="1:9">
      <c r="A2" s="16" t="s">
        <v>104</v>
      </c>
      <c r="B2" s="2"/>
      <c r="C2" s="2"/>
      <c r="D2" s="2"/>
      <c r="E2" s="2"/>
      <c r="F2" s="2"/>
      <c r="G2" s="2"/>
      <c r="H2" s="2"/>
      <c r="I2" s="3"/>
    </row>
    <row r="3" spans="1:9">
      <c r="A3" s="12" t="s">
        <v>69</v>
      </c>
      <c r="B3" s="2"/>
      <c r="C3" s="2"/>
      <c r="D3" s="2"/>
      <c r="E3" s="2"/>
      <c r="F3" s="2"/>
      <c r="G3" s="2"/>
      <c r="H3" s="2"/>
      <c r="I3" s="3"/>
    </row>
    <row r="4" spans="1:9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</row>
    <row r="5" ht="52" customHeight="1" spans="1:9">
      <c r="A5" s="30" t="s">
        <v>105</v>
      </c>
      <c r="B5" s="31" t="s">
        <v>106</v>
      </c>
      <c r="C5" s="10">
        <v>13</v>
      </c>
      <c r="D5" s="12" t="s">
        <v>107</v>
      </c>
      <c r="E5" s="12" t="s">
        <v>108</v>
      </c>
      <c r="F5" s="32"/>
      <c r="G5" s="32"/>
      <c r="H5" s="32"/>
      <c r="I5" s="12"/>
    </row>
    <row r="6" ht="26" customHeight="1" spans="1:9">
      <c r="A6" s="33"/>
      <c r="B6" s="31" t="s">
        <v>109</v>
      </c>
      <c r="C6" s="10">
        <v>6</v>
      </c>
      <c r="D6" s="12" t="s">
        <v>110</v>
      </c>
      <c r="E6" s="12" t="s">
        <v>111</v>
      </c>
      <c r="F6" s="32"/>
      <c r="G6" s="32"/>
      <c r="H6" s="32"/>
      <c r="I6" s="12"/>
    </row>
    <row r="7" ht="52" customHeight="1" spans="1:9">
      <c r="A7" s="30" t="s">
        <v>112</v>
      </c>
      <c r="B7" s="31" t="s">
        <v>113</v>
      </c>
      <c r="C7" s="10">
        <v>20</v>
      </c>
      <c r="D7" s="12" t="s">
        <v>114</v>
      </c>
      <c r="E7" s="12" t="s">
        <v>115</v>
      </c>
      <c r="F7" s="32"/>
      <c r="G7" s="32"/>
      <c r="H7" s="32"/>
      <c r="I7" s="12"/>
    </row>
    <row r="8" ht="52" customHeight="1" spans="1:9">
      <c r="A8" s="33"/>
      <c r="B8" s="31" t="s">
        <v>116</v>
      </c>
      <c r="C8" s="10">
        <v>20</v>
      </c>
      <c r="D8" s="12" t="s">
        <v>117</v>
      </c>
      <c r="E8" s="12" t="s">
        <v>118</v>
      </c>
      <c r="F8" s="32"/>
      <c r="G8" s="32"/>
      <c r="H8" s="32"/>
      <c r="I8" s="12"/>
    </row>
    <row r="9" ht="39" customHeight="1" spans="1:9">
      <c r="A9" s="30" t="s">
        <v>119</v>
      </c>
      <c r="B9" s="31" t="s">
        <v>120</v>
      </c>
      <c r="C9" s="10">
        <v>14</v>
      </c>
      <c r="D9" s="12" t="s">
        <v>121</v>
      </c>
      <c r="E9" s="12" t="s">
        <v>122</v>
      </c>
      <c r="F9" s="32"/>
      <c r="G9" s="32"/>
      <c r="H9" s="32"/>
      <c r="I9" s="12"/>
    </row>
    <row r="10" ht="78" customHeight="1" spans="1:9">
      <c r="A10" s="30" t="s">
        <v>123</v>
      </c>
      <c r="B10" s="31" t="s">
        <v>124</v>
      </c>
      <c r="C10" s="10">
        <v>15</v>
      </c>
      <c r="D10" s="12" t="s">
        <v>125</v>
      </c>
      <c r="E10" s="12" t="s">
        <v>126</v>
      </c>
      <c r="F10" s="32"/>
      <c r="G10" s="32"/>
      <c r="H10" s="32"/>
      <c r="I10" s="12"/>
    </row>
    <row r="11" ht="39" customHeight="1" spans="1:9">
      <c r="A11" s="30" t="s">
        <v>127</v>
      </c>
      <c r="B11" s="31" t="s">
        <v>128</v>
      </c>
      <c r="C11" s="10">
        <v>12</v>
      </c>
      <c r="D11" s="12" t="s">
        <v>129</v>
      </c>
      <c r="E11" s="12" t="s">
        <v>130</v>
      </c>
      <c r="F11" s="32"/>
      <c r="G11" s="32"/>
      <c r="H11" s="32"/>
      <c r="I11" s="12"/>
    </row>
    <row r="12" spans="1:9">
      <c r="A12" s="30" t="s">
        <v>102</v>
      </c>
      <c r="B12" s="3"/>
      <c r="C12" s="10">
        <v>100</v>
      </c>
      <c r="D12" s="12" t="s">
        <v>66</v>
      </c>
      <c r="E12" s="12"/>
      <c r="F12" s="32">
        <f>ROUND(SUM(F5:F11),2)</f>
        <v>0</v>
      </c>
      <c r="G12" s="32">
        <f>ROUND(SUM(G5:G11),2)</f>
        <v>0</v>
      </c>
      <c r="H12" s="32">
        <f>ROUND(SUM(H5:H11),2)</f>
        <v>0</v>
      </c>
      <c r="I12" s="12"/>
    </row>
  </sheetData>
  <mergeCells count="6">
    <mergeCell ref="A1:I1"/>
    <mergeCell ref="A2:I2"/>
    <mergeCell ref="A3:I3"/>
    <mergeCell ref="A12:B12"/>
    <mergeCell ref="A5:A6"/>
    <mergeCell ref="A7:A8"/>
  </mergeCells>
  <dataValidations count="4">
    <dataValidation type="decimal" operator="between" allowBlank="1" sqref="F5:H5 F12:H12">
      <formula1>0</formula1>
      <formula2>7</formula2>
    </dataValidation>
    <dataValidation type="decimal" operator="between" allowBlank="1" sqref="F8:H8 F10:H10">
      <formula1>0</formula1>
      <formula2>12</formula2>
    </dataValidation>
    <dataValidation type="decimal" operator="between" allowBlank="1" sqref="F9:H9 F11:H11">
      <formula1>0</formula1>
      <formula2>8</formula2>
    </dataValidation>
    <dataValidation type="decimal" operator="between" allowBlank="1" sqref="F6:H7">
      <formula1>0</formula1>
      <formula2>6</formula2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showGridLines="0" zoomScale="145" zoomScaleNormal="145" workbookViewId="0">
      <selection activeCell="J3" sqref="J3"/>
    </sheetView>
  </sheetViews>
  <sheetFormatPr defaultColWidth="9" defaultRowHeight="14" outlineLevelRow="5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7" width="13" customWidth="1"/>
    <col min="8" max="8" width="14.8545454545455" customWidth="1"/>
    <col min="9" max="9" width="18" customWidth="1"/>
    <col min="10" max="12" width="13" customWidth="1"/>
  </cols>
  <sheetData>
    <row r="1" ht="24" customHeight="1" spans="1:12">
      <c r="A1" s="1" t="s">
        <v>131</v>
      </c>
      <c r="B1" s="2"/>
      <c r="C1" s="2"/>
      <c r="D1" s="2"/>
      <c r="E1" s="2"/>
      <c r="F1" s="2"/>
      <c r="G1" s="2"/>
      <c r="H1" s="2"/>
      <c r="I1" s="3"/>
    </row>
    <row r="2" ht="26" customHeight="1" spans="1:12">
      <c r="A2" s="16" t="s">
        <v>132</v>
      </c>
      <c r="B2" s="2"/>
      <c r="C2" s="2"/>
      <c r="D2" s="2"/>
      <c r="E2" s="2"/>
      <c r="F2" s="2"/>
      <c r="G2" s="2"/>
      <c r="H2" s="2"/>
      <c r="I2" s="3"/>
      <c r="J2" s="17" t="s">
        <v>133</v>
      </c>
      <c r="K2" s="18" t="s">
        <v>134</v>
      </c>
      <c r="L2" s="18" t="s">
        <v>135</v>
      </c>
    </row>
    <row r="3" spans="1:12">
      <c r="A3" s="12" t="s">
        <v>136</v>
      </c>
      <c r="B3" s="2"/>
      <c r="C3" s="2"/>
      <c r="D3" s="2"/>
      <c r="E3" s="2"/>
      <c r="F3" s="2"/>
      <c r="G3" s="2"/>
      <c r="H3" s="2"/>
      <c r="I3" s="3"/>
      <c r="J3" s="19"/>
      <c r="K3" s="20"/>
      <c r="L3" s="20"/>
    </row>
    <row r="4" spans="1:12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137</v>
      </c>
      <c r="G4" s="5" t="s">
        <v>138</v>
      </c>
      <c r="H4" s="5" t="s">
        <v>139</v>
      </c>
      <c r="I4" s="5" t="s">
        <v>49</v>
      </c>
    </row>
    <row r="5" ht="39" customHeight="1" spans="1:12">
      <c r="A5" s="21" t="s">
        <v>140</v>
      </c>
      <c r="B5" s="22" t="s">
        <v>141</v>
      </c>
      <c r="C5" s="23">
        <v>100</v>
      </c>
      <c r="D5" s="24" t="s">
        <v>142</v>
      </c>
      <c r="E5" s="24" t="s">
        <v>143</v>
      </c>
      <c r="F5" s="25">
        <f>IF(OR($J$3="",COUNT($J$3:$L$3)=0),0,ROUND(MIN($J$3:$L$3)/$J$3*100,2))</f>
        <v>0</v>
      </c>
      <c r="G5" s="25">
        <f>IF(OR($K$3="",COUNT($J$3:$L$3)=0),0,ROUND(MIN($J$3:$L$3)/$K$3*100,2))</f>
        <v>0</v>
      </c>
      <c r="H5" s="25">
        <f>IF(OR($L$3="",COUNT($J$3:$L$3)=0),0,ROUND(MIN($J$3:$L$3)/$L$3*100,2))</f>
        <v>0</v>
      </c>
      <c r="I5" s="24"/>
    </row>
    <row r="6" spans="1:12">
      <c r="A6" s="26" t="s">
        <v>144</v>
      </c>
      <c r="B6" s="27"/>
      <c r="C6" s="28">
        <v>100</v>
      </c>
      <c r="D6" s="26" t="s">
        <v>145</v>
      </c>
      <c r="E6" s="26"/>
      <c r="F6" s="29">
        <f>ROUND(F5,2)</f>
        <v>0</v>
      </c>
      <c r="G6" s="29">
        <f>ROUND(G5,2)</f>
        <v>0</v>
      </c>
      <c r="H6" s="29">
        <f>ROUND(H5,2)</f>
        <v>0</v>
      </c>
      <c r="I6" s="26"/>
    </row>
  </sheetData>
  <mergeCells count="4">
    <mergeCell ref="A1:I1"/>
    <mergeCell ref="A2:I2"/>
    <mergeCell ref="A3:I3"/>
    <mergeCell ref="A6:B6"/>
  </mergeCells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showGridLines="0" workbookViewId="0">
      <selection activeCell="D58" sqref="D58"/>
    </sheetView>
  </sheetViews>
  <sheetFormatPr defaultColWidth="9" defaultRowHeight="14" outlineLevelCol="4"/>
  <cols>
    <col min="1" max="1" width="20" customWidth="1"/>
    <col min="2" max="2" width="14" customWidth="1"/>
    <col min="3" max="4" width="13" customWidth="1"/>
    <col min="5" max="5" width="48" customWidth="1"/>
  </cols>
  <sheetData>
    <row r="1" ht="24" customHeight="1" spans="1:5">
      <c r="A1" s="1" t="s">
        <v>146</v>
      </c>
      <c r="B1" s="2"/>
      <c r="C1" s="2"/>
      <c r="D1" s="2"/>
      <c r="E1" s="3"/>
    </row>
    <row r="2" spans="1:5">
      <c r="A2" s="4"/>
      <c r="B2" s="4"/>
      <c r="C2" s="4"/>
      <c r="D2" s="4"/>
      <c r="E2" s="4"/>
    </row>
    <row r="3" spans="1:5">
      <c r="A3" s="5" t="s">
        <v>147</v>
      </c>
      <c r="B3" s="5" t="s">
        <v>148</v>
      </c>
      <c r="C3" s="5" t="s">
        <v>149</v>
      </c>
      <c r="D3" s="2"/>
      <c r="E3" s="3"/>
    </row>
    <row r="4" spans="1:5">
      <c r="A4" s="6" t="s">
        <v>150</v>
      </c>
      <c r="B4" s="7">
        <v>10</v>
      </c>
      <c r="C4" s="8"/>
      <c r="D4" s="2"/>
      <c r="E4" s="3"/>
    </row>
    <row r="5" spans="1:5">
      <c r="A5" s="6" t="s">
        <v>151</v>
      </c>
      <c r="B5" s="7">
        <v>40</v>
      </c>
      <c r="C5" s="8"/>
      <c r="D5" s="2"/>
      <c r="E5" s="3"/>
    </row>
    <row r="6" spans="1:5">
      <c r="A6" s="6" t="s">
        <v>152</v>
      </c>
      <c r="B6" s="7">
        <v>20</v>
      </c>
      <c r="C6" s="8"/>
      <c r="D6" s="2"/>
      <c r="E6" s="3"/>
    </row>
    <row r="7" spans="1:5">
      <c r="A7" s="6" t="s">
        <v>153</v>
      </c>
      <c r="B7" s="9">
        <v>30</v>
      </c>
      <c r="C7" s="8"/>
      <c r="D7" s="2"/>
      <c r="E7" s="3"/>
    </row>
    <row r="8" spans="1:5">
      <c r="A8" s="4" t="s">
        <v>154</v>
      </c>
      <c r="B8" s="4">
        <f>SUM(B4:B7)</f>
        <v>100</v>
      </c>
      <c r="C8" s="4"/>
      <c r="D8" s="4"/>
      <c r="E8" s="4"/>
    </row>
    <row r="9" spans="1:5">
      <c r="A9" s="5"/>
      <c r="B9" s="5"/>
      <c r="C9" s="5"/>
      <c r="D9" s="5"/>
      <c r="E9" s="5"/>
    </row>
    <row r="10" spans="1:5">
      <c r="A10" s="10" t="s">
        <v>155</v>
      </c>
      <c r="B10" s="11" t="s">
        <v>156</v>
      </c>
      <c r="C10" s="11" t="s">
        <v>157</v>
      </c>
      <c r="D10" s="11" t="s">
        <v>158</v>
      </c>
      <c r="E10" s="12" t="s">
        <v>149</v>
      </c>
    </row>
    <row r="11" spans="1:5">
      <c r="A11" s="10" t="s">
        <v>159</v>
      </c>
      <c r="B11" s="13">
        <f>资质评分!F10</f>
        <v>0</v>
      </c>
      <c r="C11" s="13">
        <f>资质评分!G10</f>
        <v>0</v>
      </c>
      <c r="D11" s="13">
        <f>资质评分!H10</f>
        <v>0</v>
      </c>
      <c r="E11" s="12" t="s">
        <v>160</v>
      </c>
    </row>
    <row r="12" spans="1:5">
      <c r="A12" s="10" t="s">
        <v>161</v>
      </c>
      <c r="B12" s="13">
        <f>定制开发评分!F14</f>
        <v>0</v>
      </c>
      <c r="C12" s="13">
        <f>定制开发评分!G14</f>
        <v>0</v>
      </c>
      <c r="D12" s="13">
        <f>定制开发评分!H14</f>
        <v>0</v>
      </c>
      <c r="E12" s="12" t="s">
        <v>162</v>
      </c>
    </row>
    <row r="13" spans="1:5">
      <c r="A13" s="10" t="s">
        <v>163</v>
      </c>
      <c r="B13" s="13">
        <f>驻场运维评分!F12</f>
        <v>0</v>
      </c>
      <c r="C13" s="13">
        <f>驻场运维评分!G12</f>
        <v>0</v>
      </c>
      <c r="D13" s="13">
        <f>驻场运维评分!H12</f>
        <v>0</v>
      </c>
      <c r="E13" s="12" t="s">
        <v>164</v>
      </c>
    </row>
    <row r="14" spans="1:5">
      <c r="A14" s="14" t="s">
        <v>165</v>
      </c>
      <c r="B14" s="13">
        <f>统一报价评分!F6</f>
        <v>0</v>
      </c>
      <c r="C14" s="13">
        <f>统一报价评分!G6</f>
        <v>0</v>
      </c>
      <c r="D14" s="13">
        <f>统一报价评分!H6</f>
        <v>0</v>
      </c>
      <c r="E14" s="12" t="s">
        <v>166</v>
      </c>
    </row>
    <row r="15" ht="39" customHeight="1" spans="1:5">
      <c r="A15" s="6" t="s">
        <v>167</v>
      </c>
      <c r="B15" s="15">
        <f>ROUND(B11*$B$4/100+B12*$B$5/100+B13*$B$6/100+B14*$B$7/100,2)</f>
        <v>0</v>
      </c>
      <c r="C15" s="15">
        <f>ROUND(C11*$B$4/100+C12*$B$5/100+C13*$B$6/100+C14*$B$7/100,2)</f>
        <v>0</v>
      </c>
      <c r="D15" s="15">
        <f>ROUND(D11*$B$4/100+D12*$B$5/100+D13*$B$6/100+D14*$B$7/100,2)</f>
        <v>0</v>
      </c>
      <c r="E15" s="12" t="s">
        <v>168</v>
      </c>
    </row>
    <row r="16" spans="1:5">
      <c r="A16" s="5" t="s">
        <v>169</v>
      </c>
      <c r="B16" s="8">
        <f>RANK(B15,$B$15:$D$15,0)</f>
        <v>1</v>
      </c>
      <c r="C16" s="8">
        <f>RANK(C15,$B$15:$D$15,0)</f>
        <v>1</v>
      </c>
      <c r="D16" s="8">
        <f>RANK(D15,$B$15:$D$15,0)</f>
        <v>1</v>
      </c>
      <c r="E16" s="4" t="s">
        <v>170</v>
      </c>
    </row>
    <row r="17" spans="1:5">
      <c r="A17" s="12"/>
      <c r="B17" s="4"/>
      <c r="C17" s="4"/>
      <c r="D17" s="4"/>
      <c r="E17" s="4"/>
    </row>
    <row r="18" spans="1:5">
      <c r="A18" s="12" t="s">
        <v>171</v>
      </c>
      <c r="B18" s="2"/>
      <c r="C18" s="2"/>
      <c r="D18" s="2"/>
      <c r="E18" s="3"/>
    </row>
    <row r="19" spans="1:5">
      <c r="A19" s="12" t="s">
        <v>172</v>
      </c>
      <c r="B19" s="2"/>
      <c r="C19" s="2"/>
      <c r="D19" s="2"/>
      <c r="E19" s="3"/>
    </row>
    <row r="20" spans="1:5">
      <c r="A20" s="12" t="s">
        <v>173</v>
      </c>
      <c r="B20" s="2"/>
      <c r="C20" s="2"/>
      <c r="D20" s="2"/>
      <c r="E20" s="3"/>
    </row>
    <row r="21" spans="1:5">
      <c r="A21" t="s">
        <v>174</v>
      </c>
    </row>
    <row r="22" spans="1:5">
      <c r="A22" t="s">
        <v>175</v>
      </c>
    </row>
  </sheetData>
  <mergeCells count="11">
    <mergeCell ref="A1:E1"/>
    <mergeCell ref="C3:E3"/>
    <mergeCell ref="C4:E4"/>
    <mergeCell ref="C5:E5"/>
    <mergeCell ref="C6:E6"/>
    <mergeCell ref="C7:E7"/>
    <mergeCell ref="A18:E18"/>
    <mergeCell ref="A19:E19"/>
    <mergeCell ref="A20:E20"/>
    <mergeCell ref="A21:E21"/>
    <mergeCell ref="A22:E22"/>
  </mergeCells>
  <dataValidations count="1">
    <dataValidation type="whole" operator="between" sqref="B4:B6">
      <formula1>0</formula1>
      <formula2>100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资质评分</vt:lpstr>
      <vt:lpstr>定制开发评分</vt:lpstr>
      <vt:lpstr>驻场运维评分</vt:lpstr>
      <vt:lpstr>统一报价评分</vt:lpstr>
      <vt:lpstr>汇总排名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不要说话</cp:lastModifiedBy>
  <dcterms:created xsi:type="dcterms:W3CDTF">2026-04-23T06:41:00Z</dcterms:created>
  <dcterms:modified xsi:type="dcterms:W3CDTF">2026-04-24T07:39:03Z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00718C4C13B94411BFB97261D1E83150_12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