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4080" activeTab="1"/>
  </bookViews>
  <sheets>
    <sheet name="综述" sheetId="5" r:id="rId1"/>
    <sheet name="PECMS(对内+对外PC)" sheetId="1" r:id="rId2"/>
    <sheet name="APP" sheetId="2" r:id="rId3"/>
    <sheet name="安全管理" sheetId="3" r:id="rId4"/>
    <sheet name="经营管理分析"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<sst xmlns="http://schemas.openxmlformats.org/spreadsheetml/2006/main" count="499" uniqueCount="301">
  <si>
    <t>平台/开发工作量</t>
  </si>
  <si>
    <t>前端(人/天)</t>
  </si>
  <si>
    <t>后端(人/天)</t>
  </si>
  <si>
    <t>UI(人/天)</t>
  </si>
  <si>
    <t>测试(人/天)</t>
  </si>
  <si>
    <t>合计</t>
  </si>
  <si>
    <t>砍价后</t>
  </si>
  <si>
    <t>对内PECMS平台开发</t>
  </si>
  <si>
    <t>对外PECMS平台开发</t>
  </si>
  <si>
    <t>对内PECMS-APP端</t>
  </si>
  <si>
    <t>执行管理与经营分析平台</t>
  </si>
  <si>
    <t>安全管理平台</t>
  </si>
  <si>
    <t>总计</t>
  </si>
  <si>
    <t>PECMS三期需求汇总</t>
  </si>
  <si>
    <t>对内</t>
  </si>
  <si>
    <t>对外</t>
  </si>
  <si>
    <t>功能模块</t>
  </si>
  <si>
    <t>详细描述</t>
  </si>
  <si>
    <t>提需求部门</t>
  </si>
  <si>
    <t>分类</t>
  </si>
  <si>
    <t>备注</t>
  </si>
  <si>
    <t>补充说明</t>
  </si>
  <si>
    <t>工作量(人/天)</t>
  </si>
  <si>
    <t>派遣单</t>
  </si>
  <si>
    <t>项目总监/总监代表/监理人员/项目业主-我的项目-任务派遣单、项目管理-全部项目-任务派遣单页面结构改造，增加驻厂、巡检tab切(类似交底菜单)，原有页面功能不做改变，驻厂按钮：录入细则、文档目录、数据填报、任务交底、打卡信息、人员交接等；巡检：任务交底、人员交接等，增加制造厂搜索筛选支持模糊搜索。</t>
  </si>
  <si>
    <t>项目部
执行部</t>
  </si>
  <si>
    <t>已确认</t>
  </si>
  <si>
    <t>对外+对内</t>
  </si>
  <si>
    <t>监造任务派遣单增加安环部安全交底，使用现有安全文件管理功能。在派单审批通过后自动发送当前年度的安全文件(数据+PC站内消息通知)。项目总监/总监代表/监理人员/项目业主-我的项目-任务派遣单、项目管理-全部项目-任务派遣单页面增加安全交底按钮，点击按钮可查看当前派单的安全文件。</t>
  </si>
  <si>
    <t>安环部</t>
  </si>
  <si>
    <t>对外PECMS代码先写，暂不发布</t>
  </si>
  <si>
    <t>总监代表我的派单页面增加编辑、驳回重新提交按钮，允许总监代表进行编辑后重新提交；监理人员我的派单顶部增加数据填报按钮；监理人员我的派单操作栏下增加数据填报中日志（编辑）、周报（列表）、细则（列表）快捷入口。</t>
  </si>
  <si>
    <t>新增(未确认)</t>
  </si>
  <si>
    <t>总监代表在对外平台中对应的是项目经理</t>
  </si>
  <si>
    <t>总监代表变更，由总监理工程师在我的派单列表页面选择派单发起总监代表变更，现有派单页面展示总监代表改为原总监代表，增加选择新总监代表及手机号，变更原因：文本录入，生效时间，上传附件支持PDF、WORD、图片等，分别由原总监代表、新总监代表审批，提交派单状态为进行中，生效时间之前发起的派单涉及审批可由原总监代表审批，生效时间之后的派单涉及审批可由新总监代表审批，区域经理/技术服务/执行部对这个变更可见，本功能参照现有任务派遣单派遣人员变更来做。</t>
  </si>
  <si>
    <t>项目部</t>
  </si>
  <si>
    <t>增加派单人员变更功能，需选择新的派遣人员(必选)、辅助人员(必选)，填写变更原因(必填)；流程由区域经理|技术服务选择自己监管的派单进行发起、经总监代表审批；流程审批通过后需由原派遣人员发起人员交接流程，人员交接审批通过后，派单数据权限由原派遣人转交至新派遣人。支持角色：监理人员、区域经理、技术服务、执行部、总监代表、总监</t>
  </si>
  <si>
    <r>
      <rPr>
        <sz val="11"/>
        <color theme="1"/>
        <rFont val="宋体"/>
        <charset val="134"/>
        <scheme val="minor"/>
      </rPr>
      <t>监理人员/区域经理/技术服务/执行部/总监代表/项目总监-我的派单列表页面增加派单全周期人员变更按钮，在列表勾选一个派单后点击按钮可查看派单全周期产生的人员变更情况(</t>
    </r>
    <r>
      <rPr>
        <sz val="11"/>
        <color theme="9" tint="-0.25"/>
        <rFont val="宋体"/>
        <charset val="134"/>
        <scheme val="minor"/>
      </rPr>
      <t>需明确人员参与派单的具体时间段；</t>
    </r>
    <r>
      <rPr>
        <sz val="11"/>
        <color theme="1"/>
        <rFont val="宋体"/>
        <charset val="134"/>
        <scheme val="minor"/>
      </rPr>
      <t>包含派单其他信息变更、派单重启、派单人员变更流程导致的人员变更)，查看内容包含原派遣人员、原辅助人员，新派遣人员、新辅助人员、人员变更审批通过时间。点击每个变更数据，可下钻至人员变更的原始数据，包含派单其他信息变更、派单重启、派单人员变更信息</t>
    </r>
  </si>
  <si>
    <t>综合管理平台的打卡勾选派单时，增加用户当前位置与派单位置校验功能，需与至少一个派单地址在同区内才允许打卡。</t>
  </si>
  <si>
    <t>驻厂交底</t>
  </si>
  <si>
    <t>设备清单中'是否大件吊装设备'调整为'特殊设备'，原选项'是'='大件吊装设备'、增加选项“长周期设备”、”既是长周期又是大件吊装设备“，保留'否'，单选，支持设备类型字典配置。</t>
  </si>
  <si>
    <t>数据分析</t>
  </si>
  <si>
    <t>1.原数据分析页面增加筛选条件：派单编号、监造方式；
2.原数据分析页面中原'是否大件吊装设备'调整为'特殊设备'(原选项'是'='大件吊装设备'、'否'保留，增加’长周期设备‘、”既是长周期又是大件吊装设备“)，原筛选条件与统计图表均需进行修改，统计图表体现仅长周期设备、仅大件吊装设备，既是长周期又是大件吊装设备，非特殊设备数量，依据字典配置可以对应显示统计报表。
3.增加设备状态excel导出，导出列包括序号、项目名称、装置分类、委托方、制造厂、派单编号、监造方式、设备类型、特殊设备、设备名称、设备位号、生产令号、数量、合同交货期、计划交货期、进度百分比、工作量评价、进度评价等，上述支持按照页面上部筛选项导出。</t>
  </si>
  <si>
    <t>监理日志</t>
  </si>
  <si>
    <t>日志上传图片后，默认使用图片原始文件名，用户可以对图片进行重命名。</t>
  </si>
  <si>
    <t>执行部</t>
  </si>
  <si>
    <t>监理日志导出，勾选导出是否含照片功能，包括日志详情及日志批量导出。</t>
  </si>
  <si>
    <t>监理文件</t>
  </si>
  <si>
    <t>由我的项目→驻厂监造页面列表上方增加监理周报快捷入口按钮，增加制造厂筛选；点击监理周报进入该项目监理周报列表，查询条件：项目名称、项目编号、派单编号、监理编号、制造厂、总监代表、监理人员、时间范围，支持批量导出。涉及对应角色。</t>
  </si>
  <si>
    <r>
      <rPr>
        <sz val="11"/>
        <color theme="1"/>
        <rFont val="宋体"/>
        <charset val="134"/>
        <scheme val="minor"/>
      </rPr>
      <t>监理报告固化：增加监理报告关联表单管理模块，管理员可进入关联表单列表页面：
1.创建监理报告关联表单配置，创建页面至少包括1）文件名称（必填）文本录入，排序（必填）文本录入；2）设备类型选择（必选项）：可从已存在设备类型列表中，单选/多选目标设备类型；支持按设备类型名称/编码搜索筛选，快速定位；3）双区域选择关联表单（必选项）：「已选表单库」：默认显示所选设备类型关联的细则表单（设备多选时，取并集）,支持单选/多选表单移入「可选表单库」；「可选表单库」：显示所有未默认选中的表单，支持单选/多选表单移入「已选表单库」；支持按表单名称搜索筛选，支持单选/多选表单排序；4）点击保存，保存成功后提示，失败要有对应提示，点击关闭按钮，关闭当前页面。
2.关联表单列表页面找到要编辑关联表单配置进行编辑操作，可对已创建的监理报告关联表单相关内容调整表单配置并保存修改，失败要有对应提示，点击关闭按钮，关闭当前页面。
3.关联列表展示核心字段：配置ID、文件名称、设备类型名称、关联表单名称（按排序展示）太多可以用省略号替代、配置人、配置时间、排序、操作（编辑/详情/删除）；支持按文件名称、设备类型、关联表单名称、配置时间、配置人筛选；点击配置ID可以查看详情，详情内容至少包括文件名称、设备类型、关联表单、配置人、配置时间。
操作日志：记录所有创建/编辑/删除操作：操作人、操作时间、操作类型（创建/编辑/删除）、涉及设备类型、涉及表单、</t>
    </r>
    <r>
      <rPr>
        <strike/>
        <sz val="11"/>
        <color theme="9" tint="-0.25"/>
        <rFont val="宋体"/>
        <charset val="134"/>
        <scheme val="minor"/>
      </rPr>
      <t>调整前后的变化</t>
    </r>
    <r>
      <rPr>
        <sz val="11"/>
        <color theme="1"/>
        <rFont val="宋体"/>
        <charset val="134"/>
        <scheme val="minor"/>
      </rPr>
      <t>；日志列表支持按操作人、操作时间、设备类型筛选。
4.规则同一设备类型仅允许存在一条有效的默认表单关联规则，重复创建时提示“该设备类型已配置默认表单，是否覆盖原有配置“？
5.管理员创建时配置的表单顺序，将作为用户端加载默认表单的展示顺序，用户可在报告创建时调整；选择多个设备类型创建时，若其中某设备类型已有关联规则，默认覆盖原有规则（可选择“仅新增未配置的设备类型”）；保存配置时若数据库异常（如部分设备类型配置失败），系统自动回滚所有操作，提示“配置失败：XX原因，请重新尝试”。
6.普通用户无关联管理权限，仅使用配置后的默认规则，监理人员监理报告创建页面中【已选表单】默认展示细则表单和监理报告关联表单的交集、【未选表单】默认展示表单为细则表单中”默认展示细则表单和监理报告关联表单的交集“之外的表单。</t>
    </r>
  </si>
  <si>
    <t>监理大纲、监理细则、监理报告导出审批：
1.监理人员在我的项目→驻厂监造下仅可对单个驻厂派单发起/撤回/编辑监理文件导出申请，导出申页面自动加载项目名称、委托方、制造厂、导出申请编号：派单编号-DCSQ-001...，每次仅选择一种文件类型（监理大纲 / 监理细则 / 监理报告），自动加载数据填报模块的最新版本文件及文档目录模块全部历史文档，可按文件名称、设备名称、设备位号、生产令号检索，支持勾选1个或者多个文件/版本，勾选内容为本次申请导出范围，提交总监代表审批。
2.总监代表审批时列表展示信息：相关信息（项目名称-委托方-制造厂-文件类型-导出申请编号）、任务名称、流程名称、发起人、开始时间等并支持搜索筛选，操作包括流程查看及审批操作按钮，审批操作页面可查看项目名称、委托方、制造厂、派单编号、导出申请编号、文件类型、发起人、发起时间、勾选文件与版本明细，填写审批意见可上传附件，包含审批、退回、流程跟踪、关闭按钮。
3.审批通过后，监理人员可导出文件，单个文件最多导出 3 次，导出次数达到3次后该审批单立即失效，再次导出需重新发起审批，驳回后可调整后重新提交，审批通过不可删除，驳回以及暂存状态的申请可删除；监理人员列表展示页面：上方自动加载项目名称、委托方、制造厂、派单编号，列表展示导出申请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
4、项目总监/总监代表列表我的项目→驻厂监造可以选择派单点击导出申请对应展示页面：上方自动加载项目名称、委托方、制造厂、派单编号，列表展示导出申请编号、派单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t>
  </si>
  <si>
    <t>对外PECMS审批人改为检验主管</t>
  </si>
  <si>
    <t>"技术协议核查表"在监理细则、监理日志、监理日/周/月报、监理报告模块的开发含填报（含导入）、升版、查看、抓取、导出等，逻辑按照现有“喷砂、喷涂检查见证记录表”做全套。</t>
  </si>
  <si>
    <t>监理人员在文档目录模块创建细则旁边增加复制按钮，仅细则编制人在目标设备无细则且必选表单无填报时，支持同类型设备当前账户下跨派单复制审批通过最新版本细则；仅复制细则必选表单及控制要点对应空白表，不复制实际填报数据，避免细则未审批就已存在真实业务数据。与源设备完全独立，可编辑、提交审批；系统留痕：复制人、复制时间、源设备 ID、源派单文件编号。</t>
  </si>
  <si>
    <t>监理大纲、监理细则、监理报告模块按模块合并报表清单内容进行审批（开发工作量较大，30人*天）</t>
  </si>
  <si>
    <t>设备细则填报完成方可创建该设备监理报告；监理细则填报完成、放行申请审批通过、所有异常问题关闭方可创建该设备放行单；设备放行单开具后，方可创建监理总结。(怎么判定这个细则是填报完成的？将控制要点每条检验内容对应表单的每行，每周填报勾选，判定控制要点全部勾完了，就判定这个细则填报完成允许发起放行申请了。)细则填报完成判定规则：增加监理主要质量控制要点勾选表，表展示内容与现有查看表一致，用户勾选每一行时检查对应报表是否已填报，已填报则允许打勾，未填报提示未填报。细则升版时，监理主要质量控制要点中已被打勾部分标记灰色且不允许进行修改。</t>
  </si>
  <si>
    <t>质量部</t>
  </si>
  <si>
    <t>平台监理文件(大纲、细则、周报、日志、放行单等)页眉调整，总监任命/变更通知书、总监代表任命/变更通知书、任务派遣单、监理大纲、监理细则、监理日志、监理日/周/月报、监理通知单、重大问题提报单、放行单、监理报告、监理总结导出支持PDF格式。</t>
  </si>
  <si>
    <t>对外PECMS总监对应检验主管，总监代表对应项目经理。</t>
  </si>
  <si>
    <t>签字版大纲上传：监理人员数据填报页面，总监代表、总监查看页面选择监理大纲增加上传按钮，点击上传按钮上传，页面内容包括：自动带出文件名称、设备名称、设备位号、生产令号，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展示文件名称、设备名称、设备位号、生产令号、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同1设备不允许重复创建多条记录。</t>
  </si>
  <si>
    <t>预检验会议上传：监理人员数据填报页面，总监代表、总监查看页面选择监理大纲增加上传按钮，点击上传按钮上传，页面内容包括：自动带出项目名称、制造厂、派单编号，文件名称、序号填报，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下方列表展示文件名称、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</si>
  <si>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预评价/后评价上传：监理人员数据填报页面，总监代表、总监查看页面选择监理大纲增加上传按钮，点击上传按钮上传，页面内容包括：自动带出项目名称、制造厂、派单编号，文件名称、排序填报，评价简述填报，评价等级选择（字典配置），页面可以自带公司要求的预评价/后评价模板（管理员配置参考模板，用户可以下载填报后再上传）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列表展示文件名称、评价等级、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</si>
  <si>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耐压/泄漏试验见证记录表细则填报表取消图片上传入口，对应的细则查看、细则导出、细则历史版本查看、细则历史版本导出、周报查看、周报导出、日志查看、日志导出、监理报告查看、监理报告导出、监理报告历史版本查看、监理报告历史版本导出表增加判断逻辑，对于已上传过图片的数据，仍进行图片展示，对于未上传图片的数据，不再显示图片区域。</t>
  </si>
  <si>
    <t>监理周报</t>
  </si>
  <si>
    <t>周报格式修改
1.表头部分设置字体为非加粗；
2.A项'计划交货期'改为'工厂计划交货期'
3.设备进度情况列宽调整
4.I项照片宽度调整为8cm,6cm
5.B、C区域内容在平台录入模板，用户可进行编辑，原报表内容作为附件展示在文末；
6.E区域综述内容在平台录入模板，可编辑；本周设备检验情况按设备从本周填报情况抓取报表名称，可编辑；原报表内容作为附件展示在文末；</t>
  </si>
  <si>
    <t>周报编辑页面，照片部分抓取日期范围内最后一天的进度照片+日期范围内所有检验照片；用户可选择性删除照片，删除后可再次添加。</t>
  </si>
  <si>
    <t>文件考核与升版</t>
  </si>
  <si>
    <t>质量部文件考核功能及升版
1.一级页面以派单为维度展示派单信息(字段包含项目编号、项目名称、监理编号、派单编号、委托单位、制造单位、监理人员、总监代表、项目总监、最新考核时间、最新考核等级)，列表操作栏包含'考核记录'和'查看'按钮；页面筛选条件：按项目编号、项目名称、派单编号、监理编号、委托单位、制造单位、监理人员、总监代表、最新考核时间、最新考核等级筛选。
2.点击一级页面考核记录按钮可查看此派单的所有历史考核记录，页面包含新增、文档目录、查看数据按钮。点击新增可创建考核，填写考核结果说明、考核等级、上传附件；点击文档目录、数据填报按钮可进行相应数据查看。
3.点击一级页面派单编号可以进入派单详情页面。</t>
  </si>
  <si>
    <t>全局消息功能</t>
  </si>
  <si>
    <t>右上角小铃铛点击“查看全部信息”，打开全部信息页面，页面展示用户全部消息列表，对于待办消息类跳转到相应审批页面，可以直接进行审批，平台右上角小铃铛数量随着查看后消失更新，下拉列表数据仅展示未读消息。查询速度≤3S</t>
  </si>
  <si>
    <t>公司</t>
  </si>
  <si>
    <t>对内+对外</t>
  </si>
  <si>
    <t>系统消息集成app消息推送；增加消息类型管理，app用户可设置需要通知的消息类型，按需推送</t>
  </si>
  <si>
    <t>pecms、安全平台、综合管理平台增加门户消息接口调用，将消息内容、消息类型等信息推送至门户，由门户统一进行app消息推送(不含泛微二开部分工作量)</t>
  </si>
  <si>
    <t>项目管理</t>
  </si>
  <si>
    <r>
      <rPr>
        <sz val="11"/>
        <color theme="1"/>
        <rFont val="宋体"/>
        <charset val="134"/>
        <scheme val="minor"/>
      </rPr>
      <t>增加项目管理员角色，可查看项目管理-项目管理菜单下所有项目数据，页面增加驻厂监造/巡检监造按钮；点击按钮可查看任务派遣单驻厂监造/巡检监造页面，包含文档目录、查看数据、数据分析按钮，增加项目转交审批流程，由项目管理员发起项目转交申请，填写移交原因并上传附件，经原</t>
    </r>
    <r>
      <rPr>
        <strike/>
        <sz val="11"/>
        <color rgb="FFFF0000"/>
        <rFont val="宋体"/>
        <charset val="134"/>
        <scheme val="minor"/>
      </rPr>
      <t>项目经理</t>
    </r>
    <r>
      <rPr>
        <sz val="11"/>
        <color rgb="FFFF0000"/>
        <rFont val="宋体"/>
        <charset val="134"/>
        <scheme val="minor"/>
      </rPr>
      <t>项目创建人(负责人)</t>
    </r>
    <r>
      <rPr>
        <sz val="11"/>
        <color theme="1"/>
        <rFont val="宋体"/>
        <charset val="134"/>
        <scheme val="minor"/>
      </rPr>
      <t xml:space="preserve"> A、接收</t>
    </r>
    <r>
      <rPr>
        <strike/>
        <sz val="11"/>
        <color rgb="FFFF0000"/>
        <rFont val="宋体"/>
        <charset val="134"/>
        <scheme val="minor"/>
      </rPr>
      <t>项目经理</t>
    </r>
    <r>
      <rPr>
        <sz val="11"/>
        <color rgb="FFFF0000"/>
        <rFont val="宋体"/>
        <charset val="134"/>
        <scheme val="minor"/>
      </rPr>
      <t>项目创建人(负责人)</t>
    </r>
    <r>
      <rPr>
        <sz val="11"/>
        <color theme="1"/>
        <rFont val="宋体"/>
        <charset val="134"/>
        <scheme val="minor"/>
      </rPr>
      <t xml:space="preserve"> B依次审批通过后，系统自动将项目</t>
    </r>
    <r>
      <rPr>
        <strike/>
        <sz val="11"/>
        <color rgb="FFFF0000"/>
        <rFont val="宋体"/>
        <charset val="134"/>
        <scheme val="minor"/>
      </rPr>
      <t>及下属所有派单</t>
    </r>
    <r>
      <rPr>
        <sz val="11"/>
        <color theme="1"/>
        <rFont val="宋体"/>
        <charset val="134"/>
        <scheme val="minor"/>
      </rPr>
      <t>的</t>
    </r>
    <r>
      <rPr>
        <strike/>
        <sz val="11"/>
        <color rgb="FFFF0000"/>
        <rFont val="宋体"/>
        <charset val="134"/>
        <scheme val="minor"/>
      </rPr>
      <t>负责人</t>
    </r>
    <r>
      <rPr>
        <sz val="11"/>
        <color rgb="FFFF0000"/>
        <rFont val="宋体"/>
        <charset val="134"/>
        <scheme val="minor"/>
      </rPr>
      <t>项目创建人(负责人)</t>
    </r>
    <r>
      <rPr>
        <sz val="11"/>
        <color theme="1"/>
        <rFont val="宋体"/>
        <charset val="134"/>
        <scheme val="minor"/>
      </rPr>
      <t>从 A 变更为 B，历史数据保留，权限同步切换，全程可追溯。</t>
    </r>
  </si>
  <si>
    <t>材料库</t>
  </si>
  <si>
    <t>1.库→标准→检验项目→牌号，不允许在材料库重复建库，不允许在当前库下重复建标准，不允许在当前标准下重复创建检验项目，不允许在当前检验项目下重复创建牌号。
2.允许用户新增库、标准、检验项目、牌号临时入库，未被引用且为该用户创建的则可以被该用户删除、修改，被引用且为该用户创建的则允许修改，不允许删除。
3.库→标准→检验项目→牌号增加创建人、创建时间显示，增加非管理员创建的库→标准→检验项目→牌号审阅按钮并实现筛选，便于对其他用户录入数据修正，修正后系统引用位置对应修改，对于无法修正的数据做标记不允许用户再引用。
4.过期标准做作废标记，不可引用（细则，主要原材料、材料不超过10个）</t>
  </si>
  <si>
    <t>知识资料库</t>
  </si>
  <si>
    <t>标准下载按钮隐藏，资料库管理员对知识资料库左侧树增加增、删、改、查功能，知识资料库增加标准预览加水印功能,水印内容：仅供内部查阅，不得扩散</t>
  </si>
  <si>
    <t>项目归档</t>
  </si>
  <si>
    <t>增加项目归档菜单：
针对结束监造、放行单100%派单：
设备监理报告&amp;监理放行单&amp;监理总结审批完成，7天后每天提醒监理人员发起项目归档申请。
针对派单终止的派单：
不做限制，派单终止7天后每天提醒监理人员发起归档申请，提醒监理人员派单内所有流程通过审批（暂存除外）。
总监代表审批、总监审批、档案管理审批，审批过程中文件目录、增加总监任命、变更书、总监代表任命、变更书、任务派遣单及变更在审批过程中的可查看；审批后，将按项目按模块转PDF或者压缩包按照派单维度移动到项目归档中，区域经理、总监代表、档案管理对已归档派单打分，增加档案管理对派单的查看，支持执行部、项目部等领导层对项目归档资料及打分情况的查看。归档申请需要填写哪些内容，流程节点如何。</t>
  </si>
  <si>
    <t>质量部
项目部
执行部</t>
  </si>
  <si>
    <t>对外PECMS，由监理人员发起、项目经理、检验主管审批</t>
  </si>
  <si>
    <t>撤销项目归档由监理人员发起、总监代表、总监审批，审批通过后将移动到我的项目中展示、填报</t>
  </si>
  <si>
    <t>支持多级用户权限管理，包括管理员、监理人员、总监代表、项目总监、管理层等角色。查询、导出速度≤3S</t>
  </si>
  <si>
    <t>项目状态：未开始（无派单或者所有派单未开始，系统判定不可修改）、进行中（至少有1个派单进行中判定，系统判定不可修改）、已完成（增加项目内派单已完成项目创建人可手动选已完成，已完成则总监代表在该项目下不可发起派单，在已归档前，已完成可以撤销，撤销后总监代表可在该项目下发起派单，已完成撤销后项目状态由系统判定）、已归档（增加判定项目状态是已完成&amp;再判定项目下所有派单为已归档，满足以上两条时项目创建人可手动选择归档状态。）</t>
  </si>
  <si>
    <t>报表系统优化</t>
  </si>
  <si>
    <t>需求覆盖率 ≥ 100%
A/B/C级缺陷修复率 = 100%，D级缺陷修复率 ≥ 96%
无未关闭的严重或阻塞性缺陷</t>
  </si>
  <si>
    <t>派单变更历史管理</t>
  </si>
  <si>
    <t>增加派单变更(其他信息变更、合同号变更、派单重启)信息监听，包含合同号变更、人员变更、计划时间变更</t>
  </si>
  <si>
    <t>用户管理</t>
  </si>
  <si>
    <t>增加上级ERP唯一标识字段，新增、修改时需维护</t>
  </si>
  <si>
    <t>供应商与技术服务人员管理</t>
  </si>
  <si>
    <t>平台增加供应商角色，管理员可为拥有供应商角色的用户分配技术服务人员(可选数据来源于技术服务部门)</t>
  </si>
  <si>
    <t>技术服务人员考勤管理</t>
  </si>
  <si>
    <t>不同供应商账号登录后，可查看分配给自己的技术服务人员以及人员参与派单的明细，提供人员与派单明细导出功能(导出模板待提供)，供应商可在导出的excel中进行考勤填报，填报后将考勤数据导入平台，提供批量提交审批按钮，供应商可勾选多条数据进行提交，提交时系统校验考勤数据与技术服务人员参与派单时间是否冲突，冲突则做出提示并且不允许提交数据，不冲突则提交流程至总监代表、技术服务管理者角色处审批。平台提供填报按钮，点击填报按钮可对某一条技术服务人员参与的派单进行考勤填报，填报后可保存或提交数据。针对审批通过的数据，技术服务管理者角色可进行修改。
需增加查看菜单支持供应商、总监代表、技术服务角色查看权限内的数据。</t>
  </si>
  <si>
    <t>技术服务人员成本管理</t>
  </si>
  <si>
    <t>技术服务人员的每月成本由供应商按每人每月xx成本进行填报。提供导出功能，导出人员清单excel后，供应商可在excel中进行成本填报，填报后将excel导入平台完成本月成本填报。填报后批量提交至技术服务管理者处审批。(这里审批后是否允许修改？)
需增加查看菜单支持供应商、技术服务角色查看权限内的数据。</t>
  </si>
  <si>
    <t>合同管理</t>
  </si>
  <si>
    <t>合同管理功能增加驻厂监造金额、巡检监造金额、项目经理上级ERP唯一标识字段，用于O&amp;M平台关联人员与计算产值；增加结算方式、结算天数、结算周期(默认月)字段，用于O&amp;M进行结算提醒</t>
  </si>
  <si>
    <t>合同管理历史数据进行拆分清洗，具体拆分规则需明确</t>
  </si>
  <si>
    <t>公司-检验主管</t>
  </si>
  <si>
    <t>公司模块增加检验主管管理功能，可为公司分配对应的检验主管</t>
  </si>
  <si>
    <t>业主资料库</t>
  </si>
  <si>
    <t>增加业主资料库菜单，该菜单仅展示该检验主管负责的业主资料数据。 - 仅显示原始数据（如业主提交的文本、附件等），不包含“创建派单”按钮。 - 数据列表字段：项目名称、业主信息、提交时间、摘要内容（不可编辑）。</t>
  </si>
  <si>
    <t>各项合计</t>
  </si>
  <si>
    <t>工作量汇总</t>
  </si>
  <si>
    <t>附：开放接口方案一工作量59.5人/天，方案二工作量59人/天</t>
  </si>
  <si>
    <t>开放接口方案一</t>
  </si>
  <si>
    <t>对外提供标准接口，用于查询租户(公司)的检验主管</t>
  </si>
  <si>
    <t>对外提供标准接口，用于接收业主提交的基本信息数据</t>
  </si>
  <si>
    <t>对外提供标准接口，用于接收业主提交的附件数据</t>
  </si>
  <si>
    <t>对外提供标准接口，根据项目ID、查询派单变更明细数据</t>
  </si>
  <si>
    <t>对外提供标准接口，根据项目ID、派单ID(非必传)查询文档目录清单(监理大纲、统计报表、监理实施细则、监理报告)</t>
  </si>
  <si>
    <t>对外提供标准接口，根据文档目录ID查询文档目录详情</t>
  </si>
  <si>
    <t>对外提供标准接口，根据文档目录ID查询历史版本清单</t>
  </si>
  <si>
    <t>对外提供标准接口，根据派单与版本信息查询历史版本详情</t>
  </si>
  <si>
    <t>对外提供标准接口，根据项目ID、派单ID(非必传)查询录入细则必选表单列表(设备维度)</t>
  </si>
  <si>
    <t>对外提供标准接口，根据设备ID查询细则必选表单详情(编制说明、主要参数、监理依据、控制要点)</t>
  </si>
  <si>
    <t>对外提供标准接口，根据项目ID、派单ID(非必传)查询交底列表</t>
  </si>
  <si>
    <t>对外提供标准接口，根据交底ID查询交底详情</t>
  </si>
  <si>
    <t>对外提供标准接口，根据项目ID、派单ID(非必传)查询人员交接列表</t>
  </si>
  <si>
    <t>对外提供标准接口，根据人员交际ID查询交接详情</t>
  </si>
  <si>
    <t>对外提供标准接口，根据项目ID、派单ID(非必传)查询到岗列表</t>
  </si>
  <si>
    <t>对外提供标准接口，根据到岗ID查询到岗详情</t>
  </si>
  <si>
    <t>对外提供标准接口，根据项目ID、派单ID(非必传)查询设备申请列表</t>
  </si>
  <si>
    <t>对外提供标准接口，根据设备申请ID查询设备清单</t>
  </si>
  <si>
    <t>对外提供标准接口，根据项目ID、派单ID(非必传)查询日/月报列表</t>
  </si>
  <si>
    <t>对外提供标准接口，根据日/月报ID查询详细信息</t>
  </si>
  <si>
    <t>对外提供标准接口，根据项目ID、派单ID(非必传)查询监理大纲列表</t>
  </si>
  <si>
    <t>对外提供标准接口，根据大纲ID查询大纲详情</t>
  </si>
  <si>
    <t>对外提供标准接口，根据项目ID、派单ID(非必传)查询日志列表</t>
  </si>
  <si>
    <t>对外提供标准接口，根据日志ID查询填报日志的日期清单</t>
  </si>
  <si>
    <t>对外提供标准接口，根据日志ID与日期查询填报详情(进度及其他、过程巡检问题、当天检验内容)</t>
  </si>
  <si>
    <t>对外提供标准接口，根据项目ID、派单ID(非必传)查询监理实施细则列表</t>
  </si>
  <si>
    <t>对外提供标准接口，根据细则文件ID查询整本细则填报的报表内容</t>
  </si>
  <si>
    <t>对外提供标准接口，根据项目ID、派单ID(非必传)查询监理报告列表</t>
  </si>
  <si>
    <t>对外提供标准接口，根据监理报告文件ID查询整本报告填报的报表内容</t>
  </si>
  <si>
    <t>对外提供标准接口，根据项目ID、派单ID(非必传)查询监理总结列表</t>
  </si>
  <si>
    <t>对外提供标准接口，根据监理总结ID查询监理总结详情</t>
  </si>
  <si>
    <t>对外提供标准接口，根据监理总结ID查询监理总结的历史版本</t>
  </si>
  <si>
    <t>对外提供标准接口，根据派单ID与版本号查询历史版本详情</t>
  </si>
  <si>
    <t>开放接口方案二</t>
  </si>
  <si>
    <t>开放接口平台改造，与对外pecms平台交互时增加租户信息传递</t>
  </si>
  <si>
    <t>对外提供标准接口，根据项目ID、派单ID(非必传)查询文档目录各版本明细数据(监理大纲、统计报表、监理实施细则、监理报告)</t>
  </si>
  <si>
    <t>对外提供标准接口，根据派单ID、文件类型、版本信息查询历史版本具体报表明细内容(监理大纲、统计报表、监理实施细则、监理报告)</t>
  </si>
  <si>
    <t>对外提供标准接口，根据项目ID、派单ID(非必传)查询录入细则必选表单报表详情(编制说明、主要参数、监理依据、控制要点)</t>
  </si>
  <si>
    <t>对外提供标准接口，根据项目ID、派单ID(非必传)查询历史与有效交底明细数据</t>
  </si>
  <si>
    <t>对外提供标准接口，根据项目ID、派单ID(非必传)查询人员交接明细数据</t>
  </si>
  <si>
    <t>对外提供标准接口，根据项目ID、派单ID(非必传)查询到岗明细数据</t>
  </si>
  <si>
    <t>对外提供标准接口，根据项目ID、派单ID(非必传)查询设备申请明细数据</t>
  </si>
  <si>
    <t>对外提供标准接口，根据项目ID、派单ID(非必传)查询监理大纲明细数据</t>
  </si>
  <si>
    <t>对外提供标准接口，根据项目ID、派单ID(非必传)查询日志与填报日期清单</t>
  </si>
  <si>
    <t>对外提供标准接口，根据项目ID、派单ID(非必传)查询整本监理实施细则填报的报表内容</t>
  </si>
  <si>
    <t>对外提供标准接口，根据项目ID、派单ID(非必传)查询整本监理报告填报的报表内容</t>
  </si>
  <si>
    <t>对外提供标准接口，根据项目ID、派单ID(非必传)查询监理总结各版本明细数据</t>
  </si>
  <si>
    <t>App三期需求汇总</t>
  </si>
  <si>
    <t>归属模块</t>
  </si>
  <si>
    <t>前端</t>
  </si>
  <si>
    <t>后端</t>
  </si>
  <si>
    <t>测试</t>
  </si>
  <si>
    <t>全系统</t>
  </si>
  <si>
    <t>消息通知</t>
  </si>
  <si>
    <t>手机APP目前派单审批或者驳回，发起者这边没有任何提示，建议收到消息时（待办通知、已发起派单的处理结果通知）手机弹出消息提醒，以便及时告知项目经理人员安排结。</t>
  </si>
  <si>
    <t>APP角标：显示各平台未读消息数量和。待办菜单角标：显示待办任务数量</t>
  </si>
  <si>
    <t>对消息进行分类，app用户可以对各平台消息分类进行选择，角标数量根据用户选择的分类进行合计展示</t>
  </si>
  <si>
    <t>点击锁屏消息时可查看消息完整内容。若为PECMS流程待办通知则提供'去办理'按钮，点击按钮跳转对应业务流程的审批页面；若为PECMS派单审批通过/驳回消息则提供'去查看'按钮，点击按钮跳转至派单详情页面；若为安全平台培训通知消息，则提供'去学习'按钮，点击按钮跳转培训列表；若为安全平台考试通知消息，则提供'去考试'按钮，点击按钮跳转考试列表；若为综合管理平台的消息，则提供'去查看'按钮，点击按钮跳转综合管理平台主页面(不含泛微二开部分工作量)；其余类型的消息暂不提供按钮</t>
  </si>
  <si>
    <t>未定</t>
  </si>
  <si>
    <t>pecms</t>
  </si>
  <si>
    <t>待办/已办列表</t>
  </si>
  <si>
    <t>手机app上的待办任务和已办任务，增加流程名称显示(巡检：巡检交底审批；驻厂：任务交底审批)</t>
  </si>
  <si>
    <t>任务派遣单</t>
  </si>
  <si>
    <t>总监代表我的派单页面增加编辑、驳回重新提交按钮，允许总监代表进行编辑后重新提交。</t>
  </si>
  <si>
    <t>安全管理三期需求汇总</t>
  </si>
  <si>
    <t>地图人员实时菜单</t>
  </si>
  <si>
    <t>实时地图与全员打卡总览
业务目标
在现有监理人员打卡定位能力基础上，扩展为面向全员的实时地图监控能力，实现人员位置、打卡性质、出差流程、统计面板的统一展示与联动。并保留现有搜索功能，以适应新的列表数据。
功能范围
1.实时地图用于展示全员打卡相关信息，至少包括：
o监理人员打卡
o外勤人员打卡
o本部人员打卡
2.地图标点按基础打卡类型区分展示方式；出差状态作为附加属性展示，不替代基础类型。
3.若人员存在有效出差申请，地图标点需增加出差标识。
4.点击地图标点后：
o展示当前打卡人员的当前位置明细
o外勤人员展示打卡备注
o出差/外勤人员展示关联流程表单内容
5.页面底部提供与地图联动的人员统计与明细列表，默认展示全部人员。
6.地图标点、统计数字、底部明细表三者必须保持口径一致。
权限规则
1.新增“地图查看管理员”权限。
2.区域经理仅可查看自己管辖人员的地图打卡信息。
3.除区域经理外，其余有权限角色默认可查看全员打卡信息。
统计规则
1.统计口径默认包含全部人员。
2.统计项至少包括：应打卡人数、实际打卡人数、未打卡人数、请假人数、出差人数。
3.正式、方胜、劳务统一统计，不做单独拆分。
4.技术服务人员不纳入该实时地图展示范围。
数据规则
1.出差信息作为打卡记录的附属属性关联，不与派单并列统计。
2.系统初始视图默认为“全部人员、全口径统计、全量地图标点”。
3.相关页面效果可参考现有 html 原型。</t>
  </si>
  <si>
    <t>1.正式+方胜+劳务放在一起统计不区分；
2.技术服务不在安全管理实时地图中体现。
3.增加个出差人员的统计。</t>
  </si>
  <si>
    <t>1、具体页面有对应html做参考
2、查看规则：新增地图查看管理员权限，分配权限后，用户可查看全部地图打卡信息，区域经理看自己名下的人员的打卡信息
3、全员打卡信息，除去区域经理外，查看的权限都是全员，区域经理只看自己管辖的人员</t>
  </si>
  <si>
    <t>泛微考勤数据通过接口、定时任务同步至pecms平台(不含泛微二开部分工作量)</t>
  </si>
  <si>
    <t>地图人员派单</t>
  </si>
  <si>
    <t>标点动态过滤机制：
默认显示策略：地图初始化时，仅保留“进行中”和“未开始”状态的标点，其余状态默认隐藏。
执行状态筛选：增加“执行状态”筛选器，支持用户通过多选/单选实时控制地图标点的显隐，实现标点的动态化视图。
遮罩层数据同步：界面遮罩层（信息面板）的数据统计口径必须与当前地图展示的标点保持实时一致，确保“所见即所得”。</t>
  </si>
  <si>
    <t>人员动态信息</t>
  </si>
  <si>
    <t>需求名称
执行部人员动态台账
业务目标
以执行部当前线下在线文档为对标对象，在安全平台建设可替代表格操作的动态台账能力，最终取消线下表格。
数据来源与归属
1.业务基础数据来源于 PECMS。
2.数据需同步或归集到安全平台后再进行业务操作。
3.安全平台上的编辑结果不得反写或影响 PECMS 原始数据。
4.若安全平台存在覆盖记录，展示时以安全平台记录为准。
功能要求
1.页面应覆盖执行部当前用于管理各派单执行情况的核心台账场景。
2.列表中所有展示字段均需支持作为筛选条件。
3.页面右侧图内标记信息支持在安全管理中直接修改。
4.以下字段支持在安全平台内编辑：
o派单状态（执行状态）
o实际开始时间
o预计完工时间
权限要求
1.数据操作权限统一收口至安全平台。
2.编辑行为仅作用于安全平台侧的业务台账。
功能补充说明
1.页面需提供“派单辅助人员变更”信息的查看入口。
2.通过该入口可查看派单辅助人员的历史变更记录信息。</t>
  </si>
  <si>
    <t>需求名称
培训考试中的人员性质管理
功能范围
1.在培训人员列表、考试人员列表中新增“人员性质”字段。
2.列表所有展示字段均支持作为搜索条件。
3.搜索框需按照列表字段进行条件补全。
4.新增“人员性质管理”功能，支持：
o创建人员性质
o批量为人员分配人员性质
o在用户管理中维护人员性质
页面影响范围
1.培训人员列表
2.考试人员列表
3.用户管理列表页
4.用户管理详情页
5.用户新增页
6.用户编辑页
7.人员性质专项管理页
业务规则
1.人员性质与人员之间为一对多关系：
o一个用户只能有一个人员性质
o一个人员性质可绑定多个用户
2.用户管理中的人员性质维护交互可参考现有“角色”或“部门选择”方式。</t>
  </si>
  <si>
    <t>需求名称
培训考试中的类型分类、权限分配与统计报表权限控制
功能范围
1.将考试/培训类型从当前单级字典升级为树形分类结构。
2.分类结构至少满足现阶段二级分类需求，并支持后续扩展到不限层级。
3.将考试/培训类型字典独立为单独配置模块。
4.增加“角色与考试/培训类型”的权限分配能力。
权限规则
1.管理员可查看全部类型及全部数据。
2.角色管理员仅可查看其被授权类型范围内的数据。
3.一个角色可管理多个一级类型。
4.安环部管理账号默认展示安环部对应分类下的全部内容，该规则支持配置。
5.统计报表需按管理账号分配查看权限，admin 账号默认可查看全部统计报表数据。
页面要求
1.考试管理页面和培训管理页面都需按角色权限过滤数据。
2.类型筛选控件改为树形下拉框。
3.选择某个类型后，默认展示该类型及其所有子级类型的数据。
4.若当前阶段仍保留一级/二级分类的单独展示需求，则树形结构需兼容按层级筛选。</t>
  </si>
  <si>
    <t>需求名称
培训考试中的完成时效与催办规则
功能要求
1.培训和考试任务都需增加完成倒计时能力。
2.倒计时单位按“天”计算。
3.对未完成人员发送邮件督促提醒时，邮件中需展示剩余天数。
4.倒计时结束后仍未完成的，系统自动判定为“不合格”并记录留痕。</t>
  </si>
  <si>
    <t>权限分配</t>
  </si>
  <si>
    <t>1、“统计报表”按照管理账号进行分配，admin账号查看全部
2、培训材料阅读页面“缩小”功能完善，现在只是针对放大后缩小回原来的大小
3、系统管理-“用户管理”增加部门、人员性质筛选
                    “通讯录”增加人员性质筛选</t>
  </si>
  <si>
    <t>经营分析与执行管理模块三期需求汇总(系统补充个说明，页面效果参考绘制的原型图)</t>
  </si>
  <si>
    <t>UI</t>
  </si>
  <si>
    <t>0.领导管理大屏</t>
  </si>
  <si>
    <t>0角色划分
汇聚底层所有模块数据，不进行不同角色的数据拆分，按需赋予菜单权限即可查看。</t>
  </si>
  <si>
    <t>1 核心财务统览指标
累计合同总额：实时汇总全库非终止状态合同金额总值。
当年累计确认产值：汇总当年全部已录入并确认的产值数据。
累计已开票总额：财务已录入系统的发票金额总和。
累计实际收款总额：财务复核已到账的收款金额总和。
综合平均利润率：根据动态成本核算模块生成加权利润占比，并附带环比/同比升跌红绿指示。</t>
  </si>
  <si>
    <t>2 客户（甲方）健康度漏斗图
分析维度：以"委托方"字段作为纵向主轴，聚合其名下的所有关联合同单据。
四级漏斗层级：
o【第1级 - 签约层】各甲方名下合同签约总额
o【第2级 - 产值层】已在系统录入并确认的总产值
o【第3级 - 开票层】已完成开票的总金额
o【第4级 - 实收层】实际已到账的收款金额
预警逻辑：自动识别并标红展示"开票转化率"或"回款到账率"严重低于正常水位的甲方客户名单。</t>
  </si>
  <si>
    <t>无法按照委托方统计</t>
  </si>
  <si>
    <t>3 经营资金流趋势剪刀差预警图
横坐标：过去连续 12 个自然月。
双轨对比曲线：
o【支出曲线】：累计真实已支付成本（人员薪资摊销+差旅+固定运营分摊）
o【入账曲线】：累计实际到账收款金额
剪刀差告警：当支出曲线上穿入账曲线形成倒挂时，该时间区间自动渲染高亮警戒填充色，提示资金链失血风险。</t>
  </si>
  <si>
    <t>4 风险雷达与穿透池
薄利/亏损区：专项展示净利润率触及字典预置底线（如 ≤3%）的项目(合同CI编号)清单。
应收逾期区：展示已开票但超过合同约定账期仍未收款的逾期项目(合同CI编号)清单。
执行预警区：联动执行管理模块，展示计划结束时间已过期的派单及负责人。
支持点击从大屏直接穿透到对应底单详情页面。</t>
  </si>
  <si>
    <t>5 产能闲置率网格
计算公式：在职人员总数 - 当前正在执行派单中的人员数 = 闲置人员数
成本透视：将闲置人员人数折算为当期隐性薪资耗损总额，标红展示在大屏中，辅助管理层盘活人力资源。</t>
  </si>
  <si>
    <t>1.合同台账管理</t>
  </si>
  <si>
    <t>1 角色划分
项目总监：查看当前用户监管的项目下派单选用的合同号(CI编号)数据
项目经理：查看分配给当前用户的合同号(CI编号)数据
总监代表：查看当前用户负责的派单选用的合同号(CI编号)数据
财务、领导层、管理员：查看所有数据
&gt; 【项目经理变更继承规则】
当 PECMS 中某合同的项目经理发生变更时（如从甲变更为乙）：
甲在 O&amp;M 中失去该合同的访问权限
乙在 O&amp;M 中接管该合同，可查看甲历史填报的全部数据
历史数据中的"填报人"字段仍显示甲（不改写历史记录，保证审计完整性）
后续由乙继续查看与填报</t>
  </si>
  <si>
    <t>1.保留历史数据指在pecms保留还是在OM保留？
2.保留历史项目经理后，OM权限分配页面是否需要相应的历史查看功能</t>
  </si>
  <si>
    <r>
      <rPr>
        <sz val="11"/>
        <color theme="1"/>
        <rFont val="宋体"/>
        <charset val="134"/>
        <scheme val="minor"/>
      </rPr>
      <t xml:space="preserve">1.2 数据展示及各角色操作权限
数据来源：合同信息列表数据从 PECMS 中同步获取，以列表形式展示。
展示字段：合同编号、合同名称、设备名称、委托方、制造方、监造金额、预给号时间、项目经理、合同签订时间、合同原件返回情况时间、合同起始日期、合同终止日期、委托方联系人、合同类型、合同形式、ERP录入情况、上级单位ERP唯一标识、合同特殊情况备注、供公司平台项目编号、供公司平台项目名称。
&gt; 【合同类型说明】（2026.03.04会议确认，精简为三种，废弃原"开口合同/总价合同"等分类）
开口合同：参与产值/收入/成本计算；系统自动按工时×合同单价计算当月计划产值
总价合同：参与产值/收入/成本计算；当月计划产值默认为0，由项目经理手动按月填报确认产值
框架协议合同：仅在合同台账记录展示，不进入项目收入台账，不参与任何产值、收入、成本计算
&gt; 【PECMS数据同步与账号绑定机制】（2026.03.04会议确认）
PECMS 合同台账同步至 O&amp;M 时，"项目经理"字段在 PECMS 中原为纯文字姓名
PECMS 在 user 表中新增字段"上级单位ERP唯一标识"，存储每个用户在上级ERP系统中的唯一ID
O&amp;M 同步数据时，根据该唯一标识在 O&amp;M 用户表中匹配对应账号并完成绑定
页面显示：账号对应的用户姓名（人可读）
底层存储：O&amp;M 系统账号ID（供权限系统识别）
若无法匹配到账号：回退显示原始文字姓名，并在系统中标记为"待绑定"状态
此绑定机制是 O&amp;M 权限系统正确识别项目经理身份的基础前提，需在联调阶段提前完成
</t>
    </r>
    <r>
      <rPr>
        <sz val="11"/>
        <color rgb="FFC00000"/>
        <rFont val="宋体"/>
        <charset val="134"/>
        <scheme val="minor"/>
      </rPr>
      <t>增加开票提醒功能，发送邮件至项目经理邮箱
总价合同：合同结束后提醒，合同下所有派单都是结束状态才是合同的结束
开口合同：根据台账中的提醒周期，和单位，在适当时间进行提醒</t>
    </r>
  </si>
  <si>
    <r>
      <rPr>
        <sz val="11"/>
        <color theme="1"/>
        <rFont val="宋体"/>
        <charset val="134"/>
        <scheme val="minor"/>
      </rPr>
      <t xml:space="preserve">1.3 数据列操作按钮
"完成"按钮：当【实收金额】与【合同金额】在系统设置的精准小数位数误差阈值内一致时，展示"完成"按钮。点击弹出确认弹窗，确认后修改合同状态为"已完成"。是否达到一致的精度门限，支持在系统设置中配置小数点精确位数，避免因极小数位差异导致无法完成。
"终止"按钮：除状态为"已终止"的数据外，其余均展示终止按钮，点击后修改合同状态为"已终止"。
"取消终止"按钮：状态为"已终止"的数据展示"取消终止"按钮，点击后弹出含必填字段弹窗：【终止原因】（文本必填）、【预估恢复时间】（日期必填）、确定/取消按钮。点击确定后调用接口发起审批流程；流程发起后，"取消终止"按钮改为显示"取消终止申请"，点击展示申请内容和审批状态信息。
</t>
    </r>
    <r>
      <rPr>
        <sz val="11"/>
        <color rgb="FFC00000"/>
        <rFont val="宋体"/>
        <charset val="134"/>
        <scheme val="minor"/>
      </rPr>
      <t>"编辑"按钮：每个合同默认每月产值计算天数为26，增加编辑入口对合同的天数进行修改</t>
    </r>
  </si>
  <si>
    <t>1.4 详情查看
弹窗展示当前选中合同的相关信息（包含列表所有字段），同时若有取消终止申请，展示申请的所有信息：发起人、提出时间、审批状态。</t>
  </si>
  <si>
    <t>1.5 查询筛选条件
查询条件只会比 PECMS 合同管理更多，不照搬 PECMS，以 O&amp;M 系统自身的合同台账展示字段为准，全部字段均作搜索条件。
提供高级查询构造器弹窗（用户自选字段并输入条件进行组合查询），支持多条件关联查询。
按钮：查询、高级查询、重置。
支持按筛选条件结果导出（格式支持 Excel；支持自定义勾选导出列）</t>
  </si>
  <si>
    <t>2.项目收入管理</t>
  </si>
  <si>
    <t>2.1 角色划分
项目总监：查看当前用户监管的项目下派单选用的合同号(CI编号)的收入信息
项目经理：查看分配给当前用户的合同号(CI编号)的收入信息
总监代表：查看当前用户负责的派单选用的合同号(CI编号)的收入信息
财务、领导层、管理员：查看所有数据
- 关键权限规定（2026.03.04会议确认）：
o"当月确认产值填报"、"当月收入纠正"、"开票信息填报"、"回款信息填报"按钮的操作权限仅限项目经理（总监代表在本模块无任何编辑权限，仅保留查看）。
o上述四个按钮的权限均设置为系统可配置项，由管理员在后台调整。
o注意：项目收入台账仅展示"开口合同"和"总价合同"数据，框架协议合同不进入本台账。</t>
  </si>
  <si>
    <r>
      <rPr>
        <sz val="11"/>
        <color theme="1"/>
        <rFont val="宋体"/>
        <charset val="134"/>
        <scheme val="minor"/>
      </rPr>
      <t>2.2 项目收入信息展示
以列表形式展示所有合同下项目收入的数据信息（仅含开口合同和总价合同，框架协议合同不显示）。
列表字段：合同编号、合同名称、委托方、项目经理、合同类型、合同金额、</t>
    </r>
    <r>
      <rPr>
        <sz val="11"/>
        <color rgb="FFC00000"/>
        <rFont val="宋体"/>
        <charset val="134"/>
        <scheme val="minor"/>
      </rPr>
      <t>出勤总产值、当月出勤产值</t>
    </r>
    <r>
      <rPr>
        <sz val="11"/>
        <color theme="1"/>
        <rFont val="宋体"/>
        <charset val="134"/>
        <scheme val="minor"/>
      </rPr>
      <t>、总产值(元)、当月计划产值(元/月)、已报产值、当月确认产值(元)、当月确认产值最新填报时间、当月收入最新纠正时间、已报收入、</t>
    </r>
    <r>
      <rPr>
        <sz val="11"/>
        <rFont val="宋体"/>
        <charset val="134"/>
        <scheme val="minor"/>
      </rPr>
      <t>纠正剩余额度</t>
    </r>
    <r>
      <rPr>
        <sz val="11"/>
        <color theme="1"/>
        <rFont val="宋体"/>
        <charset val="134"/>
        <scheme val="minor"/>
      </rPr>
      <t>（新增）、当月收入、开票状态、计划开票时间、未开票原因、最新开票时间、开票总金额(元)、最新收款时间、收款总金额(元)、备注。
排序支持：所有涉及数字、金额、日期的列表头均支持正/逆向点击排序。
已报收入悬浮明细：鼠标悬停在"已报收入"数字上时，弹出明细组成说明（开票金额合计 + 纠正剩余额度来源），以便溯源查核。</t>
    </r>
  </si>
  <si>
    <t>剩余纠正额度怎么计算</t>
  </si>
  <si>
    <t>2.3 查询时筛选条件
合同编号、合同名称、委托方（含委托方类别判断：中石化、中石油等）、项目经理、合同类型、开票状态、计划开票时间、实际开票时间、实际回款时间、开票总金额、收款总金额、产值、已报产值（具体在执行过程中可在列表字段范围内增减）。
支持按筛选条件结果进行全数据自定义列导出。</t>
  </si>
  <si>
    <r>
      <rPr>
        <sz val="11"/>
        <color theme="1"/>
        <rFont val="宋体"/>
        <charset val="134"/>
        <scheme val="minor"/>
      </rPr>
      <t xml:space="preserve"> 2.4 计算逻辑（2026.03.04会议完整重写）
【合同类型与计算参与规则】
开口合同：参与所有产值/收入计算，系统自动按工时×合同单价计算当月计划产值
总价合同：参与产值/收入计算，当月计划产值默认为0
框架协议合同：不参与任何计算，不在收入台账中显示
</t>
    </r>
    <r>
      <rPr>
        <sz val="11"/>
        <color rgb="FFC00000"/>
        <rFont val="宋体"/>
        <charset val="134"/>
        <scheme val="minor"/>
      </rPr>
      <t>【出勤总产值规则】开口合同：出勤总产值=历史出勤产值和(不含当月)；总价合同：无
【当月出勤产值规则】总价合同：无；
开口合同：系统自动计算=固定天数×单价
固定天数为每月固定天数，计算天数的开始日期为派单实际开始日期；
增加是否排除法定节假日的开关，开启则固定天数=本月剩余天数-法定节假日，关闭则固定天数=本月剩余天数；例如派单实际开始时间为2026.3.15，开启排除开关，则固定天数为12；关闭开关则固定天数为16</t>
    </r>
    <r>
      <rPr>
        <sz val="11"/>
        <color theme="1"/>
        <rFont val="宋体"/>
        <charset val="134"/>
        <scheme val="minor"/>
      </rPr>
      <t xml:space="preserve">
【总产值规则】
开口合同：总产值 = 已报产值 + 当月确认产值
总价合同：总产值 = 已报产值 + 当月确认产值（当月计划产值=0，不参与计算）
【已报产值规则】
已报产值 = 历史各月当月确认产值的累加合计（不含本月当月确认产值）
【当月计划产值规则】
开口合同：系统自动计算 = 合同单价 × 当月实际产生工时
o点击列表中该金额数字，弹出"计算过程明细"弹窗，展示由哪些工时数据组成及逐步计算过程，供项目经理核查
o每月系统计算记录留存，全程可追溯
总价合同：= 0（无系统计算值，无参考意义，不显示）
【当月确认产值规则】
开口合同：
o弹窗默认填入系统计算的当月计划产值，项目经理可修改
o触发审批条件：当月确认产值 &lt; 当月计划产值 × 字典配置阈值% → 触发"产值过低审批流"（不阻断提交，但需在审批单中填写：① 产值过低原因（必填文本）② 证明材料附件（必填上传））
o确认产值高于计划产值：无需审批，直接生效
总价合同：
o项目经理直接手动填报（无系统计算参考值，无审批校验）
- 项目结束自动补齐产值机制（2026.03.11新增/修正）：总价合同的总产值上限必然且等同于合同约定的总金额。若项目完结时，历史按月填报累计的【已报产值】小于合同总金额，系统将自动计算差额=合同金额 - 已报产值，并自动生成一笔类型为【系统补齐】的产值过账记录，将该合同总产值强行拉平至合同总额。
填报记录留存：系统计算值、人工填报值、系统补齐值均按月留存历史，全程可追溯查阅
【已报收入规则】
基础值：已报收入 = 累计开票总金额
若存在纠正金额：已报收入 = 累计开票总金额 + 纠正剩余额度
【当月收入定义】
当月收入 = 当月开票金额
【纠正剩余额度规则】
初始值 = 收入纠正操作时填入的纠正金额
每次新增开票：该笔开票金额优先抵扣纠正剩余额度
纠正剩余额度归零后：已报收入回到纯开票金额模式
示例：初始开票50万 + 纠正30万 → 已报收入=80万，纠正剩余额度=30万；下次再开票20万 → 已报收入仍=80万，纠正剩余额度=10万
【开票状态规则】
开口合同：固定显示字典配置的文字标签（默认值："人工时定期据实结算"，支持后台字典修改）
总价合同：系统自动判定"未开票"（实际开票金额=0）/ "部分开票"（0 &lt; 实际开票金额 &lt; 合同金额）/ "全部开票"（实际开票金额=合同金额）
【各字段数据来源】
开票总金额：来源于开票明细管理，根据合同编号汇总金额
最新开票时间：同步开票管理中发票最后一次上传时填写的开票时间
收款总金额：来源于回款管理，根据合同编号汇总回款金额
最新收款时间：同步回款单中的最新时间
合同金额：同步 PECMS 中合同的监造金额</t>
    </r>
  </si>
  <si>
    <r>
      <rPr>
        <sz val="11"/>
        <color theme="1"/>
        <rFont val="宋体"/>
        <charset val="134"/>
        <scheme val="minor"/>
      </rPr>
      <t>2.5 表格操作栏按钮
（1）当月确认产值填报（2026.03.04会议完整重写）
点击弹窗展示以下字段：
【只读字段】
合同编号
合同类型（开口合同 / 总价合同）
合同金额
已报产值（历史累计各月确认产值，不含当月）
时间区间起始（合同起始日期）
时间区间终止（合同结束日期）
系统计算值（开口合同=系统算出的当月计划产值；总价合同=空不显示）
【可编辑字段】
当月确认产值（必填）
o开口合同：默认值 = 系统计算值，项目经理可修改
o总价合同：默认值 = 0，项目经理直接手填
备注（选填）
o供填写本次产值填报的相关说明。
【校验规则】
开口合同：当月确认产值 &lt; 当月计划产值 × 字典配置阈值% → 触发"产值过低审批流"（不阻断提交）；审批单必填：① 产值过低原因（必填文本）② 证明材料附件（必填上传）
总价合同：由于采用项目结束时系统自动兜底补齐差额的机制（当产值小于合同金额时自动补齐至合同额），故纯手动填报阶段无校验拦截，直接提交。
- 废弃说明（2026.03.11再次确认）：彻底废弃所有关于“产值超过合同总额”的超额审批机制。无论是开口合同还是总价合同，均无此拦截点。
【按钮】取消 / 暂存 / 提交
（2）当月收入纠错（2026.03.04会议修订，2026.03.18最终确认）
点击弹窗展示：当月收入列表（含合同编号、合同名称、当月计划产值、当月收入、已抵充金额、剩余可撤金额），支持查询筛选和分页。
可自由选择被纠错合同，选择后填入纠错金额，弹窗下方实时汇总填写金额。
纠错操作记录：操作人（自动带出）、操作时间（自动带出）、纠错金额（必填）、备注（选填，多行文本，供填写相关说明）。
纠错金额生效后，对应合同编号下的纠错剩余额度增加，已报收入随之增加；后续每次开票优先抵冲纠错剩余额度。
撤回剩余：可撤回未被抵充的金额，撤回后立即生效，无需审批。点击"撤回剩余"按钮后弹窗确认，填写撤回原因后提交。
系统冲销：已抵充金额由系统自动检测并冲销，生成红字记录。系统行为，不需要人工操作，在历史记录中显示为"系统冲销"，操作人为"系统自动"。
弹窗按钮：取消（关闭弹窗）、提交纠错（数据立即生效，不需走审批流）。
（3）预计开票填报
仅限</t>
    </r>
    <r>
      <rPr>
        <strike/>
        <sz val="11"/>
        <color theme="9" tint="-0.25"/>
        <rFont val="宋体"/>
        <charset val="134"/>
        <scheme val="minor"/>
      </rPr>
      <t>编辑</t>
    </r>
    <r>
      <rPr>
        <sz val="11"/>
        <color theme="9" tint="-0.25"/>
        <rFont val="宋体"/>
        <charset val="134"/>
        <scheme val="minor"/>
      </rPr>
      <t>新增</t>
    </r>
    <r>
      <rPr>
        <sz val="11"/>
        <color theme="1"/>
        <rFont val="宋体"/>
        <charset val="134"/>
        <scheme val="minor"/>
      </rPr>
      <t>：计划开票时间、未开票原因、备注。
需生成历史记录，历史记录中支持查询和分页。
（4）预计回款填报
仅限</t>
    </r>
    <r>
      <rPr>
        <strike/>
        <sz val="11"/>
        <color theme="9" tint="-0.25"/>
        <rFont val="宋体"/>
        <charset val="134"/>
        <scheme val="minor"/>
      </rPr>
      <t>编辑</t>
    </r>
    <r>
      <rPr>
        <sz val="11"/>
        <color theme="9" tint="-0.25"/>
        <rFont val="宋体"/>
        <charset val="134"/>
        <scheme val="minor"/>
      </rPr>
      <t>新增</t>
    </r>
    <r>
      <rPr>
        <sz val="11"/>
        <color theme="1"/>
        <rFont val="宋体"/>
        <charset val="134"/>
        <scheme val="minor"/>
      </rPr>
      <t>：计划回款时间、计划回款金额、最新收款时间、收款总金额、备注。
供项目经理填报自己名下合同编号的回款信息，供管理层全面排查查看。
（5）历史记录（2026.03.04会议扩展为5个Tab，2026.03.11会议全面升级交互与管控机制）
点击打开当前合同的历史填报数据弹窗，采用 85vh 高度 x 最大 1450px 宽度的全屏级自适应架构包裹，确保多维表格排布不受局部挤压变形。含以下5个 Tab：
oTab1 - 当月确认产值快照：彻底剥离无关的"合同编号"全局搜索项（立足单合同内复盘）。顶级配备时间区间、操作人、类型过滤以及精确/清空查询组件。
oTab2 - 纠正财务流水：剥离无关的大范围检索词，增强单据状态(生效/作废)的精准筛选。展示该合同历次纠偏记录，包括：新增纠错、系统抵充、撤回剩余、系统冲销四种操作类型。
oTab3 - 开票记录查询：增设了操作人员、发票号的精确穿透搜索，以及"全部/全额/部分开票"状态下拉筛。
oTab4 - 回款历史查询：针对业财对账需求，增设极其贴合业务的 [最小金额] - [最大金额] 区间范围过滤检索定位。
oTab5 - 开票/回款管控台账（原填报历史核心升级）：
Master-Detail 主从联动结构（左看右展）：左侧展示全部项目经理对于开票和回款的预估填报快照清单，</t>
    </r>
    <r>
      <rPr>
        <sz val="11"/>
        <color theme="9" tint="-0.25"/>
        <rFont val="宋体"/>
        <charset val="134"/>
        <scheme val="minor"/>
      </rPr>
      <t>增加唯一编号字段展示(不可编辑)对于已填写的预计开票/回款数据，若无法按计划执行可进行数据修改，修改内容待补充，修改后触发审批流</t>
    </r>
    <r>
      <rPr>
        <sz val="11"/>
        <color theme="1"/>
        <rFont val="宋体"/>
        <charset val="134"/>
        <scheme val="minor"/>
      </rPr>
      <t xml:space="preserve">。右侧打造隐藏式抽屉（自带独立关闭销毁触发器），用于点击某一行后滑出展示动态细节。
搜索维度配齐：配备完整的 填报内容摘要(模糊输入) + 填报类型下拉(开票/回款) + 时间区间选择 + 最新审批状态(待审批/已同意/已驳回/无) 横向表单检索。
独立纠偏流转审计轴：点击右侧抽屉，可追踪从该历史预估节点延伸出的所有「申请延期/纠正」的反复审批拉扯历程；含审批节点、异常归类标签(由数据字典独立驱动)、审批附言、以及各阶段不同颜色高亮的状态印章。
所有 Tab 均支持多种排序方式，默认按时间倒序排列。受底部统管防穿模 Flex 机制保护，且提供自定义页码导航控件。
（6）全局历史查阅池（为领导层独立开放）
在系统顶层设立独立的全局历史查阅页面，不受合同编号辖区限制。
汇聚公司历史全量确认产值记录与收入纠正记录，提供多维度组合筛选（合同编号、人员、时间段、类型、金额区间等），支持各种排序方式，直接服务高管决策。
（7）查看按钮
点击后在同一平台内跳转至"执行管理"页面，根据当前行的合同编号自动过滤展示对应执行数据（禁止跳转 PECMS 系统）。
</t>
    </r>
    <r>
      <rPr>
        <sz val="11"/>
        <color rgb="FFC00000"/>
        <rFont val="宋体"/>
        <charset val="134"/>
        <scheme val="minor"/>
      </rPr>
      <t>（8）补录按钮：产值填报页面增加检查规则，若历史月份未填报产值，则提供补录按钮，可对合同产值进行填报</t>
    </r>
  </si>
  <si>
    <t>1.产值允许超过合同总额？
2.自动冲销？</t>
  </si>
  <si>
    <t>2.6 合同状态联动
合同状态变更为"已完成"时（需人为点击确认操作，非自动触发），若已报收入未达合同金额，系统自动补齐已报收入，生成一条类型为"系统补齐"的历史记录，同时提供补齐记录的独立查看入口。
所有有计算公式的页面均要展示当前页面涉及的计算公式面板，默认收起状态，可点击展开查看。</t>
  </si>
  <si>
    <t>3.执行管理</t>
  </si>
  <si>
    <t>3.1 角色划分
项目总监：查看当前用户监管的项目下派单的信息
总监代表：查看当前用户负责的派单信息
项目经理：查看分配给当前用户的合同号(CI编号)相关的派单信息
领导层、管理员：查看所有数据
此部分查看等角色权限需设置为可配置项。</t>
  </si>
  <si>
    <r>
      <rPr>
        <sz val="11"/>
        <color theme="1"/>
        <rFont val="宋体"/>
        <charset val="134"/>
        <scheme val="minor"/>
      </rPr>
      <t>3.2 执行管理信息展示字段
数据来源及计算规则如下：
合同编号：来源 PECMS 平台合同管理
项目经理：来源 PECMS 平台合同管理
区域经理：显示该合同关联的区域经理姓名。在表格中作为独立列展示，位于"项目经理"列之后。字段内容为纯文本，显示区域经理的真实姓名（如"张经理"）。当合同未分配区域经理时，该列显示"—"占位符。该字段来源于PECMS平台合同管理模块中的区域经理分配信息。
项目编号：派单关联的关联项目编号
项目名称：派单关联的关联项目名称
项目总监：项目编号关联总监，显示姓名
派单编号：通过合同编号关联的派单编号
总监代表：派单编号关联代表
总产值：
o开口合同：总产值 = 每日产值累加（合同单价 × 实际产生的工时）
o总价合同：总产值 = 每日产值累加（合同单价 × 实际产生的工时）
o总价合同（项目未结束）：（已报收入 ÷ 合同编号下所有工时）× 派单实际工时
o总价合同（项目结束）：总收入 ÷ 合同编号下所有工时 × 派单实际工时
当月计划产值：
o开口合同：派单当月实际产生的工时 × 合同单价</t>
    </r>
    <r>
      <rPr>
        <sz val="11"/>
        <color rgb="FFC00000"/>
        <rFont val="宋体"/>
        <charset val="134"/>
        <scheme val="minor"/>
      </rPr>
      <t>或固定天数×单价</t>
    </r>
    <r>
      <rPr>
        <sz val="11"/>
        <color theme="1"/>
        <rFont val="宋体"/>
        <charset val="134"/>
        <scheme val="minor"/>
      </rPr>
      <t xml:space="preserve">
o总价合同：派单当月实际产生的工时 × 合同单价
o总价合同（项目未结束）：（已报收入 ÷ 合同编号下所有工时）× 派单当月工时
o总价合同（项目结束）：总收入 ÷ 合同编号下所有工时 × 派单当月工时
制造厂：显示派单关联的制造厂全称。在表格中作为独立列展示，字段内容为制造厂的完整企业名称（如"东方锅炉有限公司"、"哈尔滨锅炉厂有限责任公司"）。该字段通过派单编号关联获取，数据来源于PECMS平台派单管理中的制造厂信息。当派单未关联制造厂时，该列显示"—"占位符。
派遣人员：派单关联人员，显示姓名
辅助人员：派单关联的辅助人员（可多人）
监造方式：驻厂 / 巡检，图标或文字标识
计划开始时间：派单中计划开始时间
计划结束时间：显示时间，当前时间 &gt; 计划结束时间时该列文字标红，并在列中标注超期天数（如"超期15天"）；列表头提供超期天数由多到少的排序按钮。
实际开始时间：驻厂=监理人员首次填写日志的时间；巡检=监理人员首次签到时间
实际结束时间：驻厂=监造结束申请中填写的结束时间；巡检=监理人员末次签到时间
项目执行状态（四色灯，支持字典配置颜色）：
o灰色：未开始（当前时间 ≤ 实际开始时间 或 无实际开始时间）
o蓝色：进行中（实际开始时间 ≤ 当前时间 &lt; 实际结束时间）
o绿色：已完成（当前时间 ≥ 实际结束时间）
o红色/橙色（新增）：执行中但计划结束时间已过，标超期警戒状态
o此处颜色可以在字典中进行设置调整
用工时间：显示派单的实际用工天数，根据派单执行状态动态计算：
o未开始状态：当派单尚未开始执行（无实际开始时间）时，该列显示"/"占位符，表示暂无用工数据
o进行中状态：当派单正在执行时，系统自动计算当前时间与派单实际开始时间的差值，以天为单位显示（如"30天"、"15天"）。计算公式：当前日期 - 实际开始日期
o已完成状态：当派单已结束时，显示从实际开始到监造结束的总用工天数。计算公式：监造结束时间 - 实际开始时间
该字段为只读字段，数值由系统自动计算生成，不支持手动编辑。
是否使用监造平台：PECMS 平台获取
不使用监造平台说明：PECMS 平台获取
是否中石化项目：根据 PECMS 平台派单中委托方判断
设备材料名称：PECMS 平台获取
设备数量：PECMS 平台获取
大纲是否已编制审核：驻厂=依据交底中设备对应的监造大纲是否齐全并全部审批通过；巡检=无数据
细则是否已编制审核：驻厂=依据交底中监理实施细则是否齐全并全部审批通过；巡检=无数据
风险评估报告风险等级：驻厂=依据风险评估报告等级；巡检=无数据
技术协议等依据性文件现场监理人员是否已拿到：驻厂=依据驻厂交底申请中"设备技术协议、框架协议、项目统一规定"栏打勾拿到；巡检=无数据
监理工程师替换交接申请是否有：驻厂=存在审批通过的人员交接申请则认为有；巡检=无数据
ITP 是否已确认并发给委托方确认：驻厂=依据检验计划上传功能；巡检=无数据
预检会是否召开并有会议纪要：驻厂=依据预检验会议上传功能；巡检=无数据
派单变更状态（已确认新增）：联动 PECMS 历史记录表，若派单发生变更（如换人、改时间），填注变更概要；若无变更则显示"/"，支持点击查看变更明细。</t>
    </r>
  </si>
  <si>
    <t xml:space="preserve">1.派单状态变更具体需要监听哪些类型的变更？
</t>
  </si>
  <si>
    <t>3.3 表格操作按钮
编辑：点击打开弹框，可修改以下字段（其余 PECMS 同步字段只读）：大纲是否已编制审核、细则是否已编制审核、风险评估报告风险等级、技术协议等依据性文件现场监理人员是否已拿到、监理工程师替换交接申请是否有、ITP是否已确认并发给委托方确认、预检会是否召开并有会议纪要、备注。
非 PECMS 项目技术文件缺失标红警示（已确认）：判定标准为该派单"是否上平台"字段为否，或上的平台非 PECMS。对于此类非三方项目，上述 7 项技术文件字段如有任何一项为空/未填写，对应列强制标红显示，并不阻止操作，仅提醒管理层核实并补录。
合同编号点击交互：用户点击表格中的合同编号单元格后，在当前页面弹出模态对话框展示该合同的详细信息，不跳转至PECMS系统。
 弹窗布局：
o弹窗宽度约800px，居中显示，背景半透明遮罩层
o弹窗标题栏显示"合同详情 - [合同编号]"，右上角提供关闭按钮（×图标）
o内容区域采用双列布局，左右两列各占50%宽度，列间距20px
 展示字段（共22个）：
左列：监理编号、项目名称、委托方、监造厂家、项目总监、项目经理、派遣人员、计划开始时间、实际开始时间、是否使用监造平台、风险等级、是否召开预检会
右列：派遣单单号、项目编号、制造方、监造设备、总监代表、主要监理人员、辅助监理人员、计划结束时间、实际结束时间、监造平台名称、预检会时间
 字段样式：每个字段采用"标签：值"的形式展示，标签文字为灰色（#666），值文字为黑色（#333），字段间垂直间距12px。
 交互行为：点击遮罩层或关闭按钮可关闭弹窗，支持ESC键快捷关闭。
列设置按钮（已确认新增）：
按钮位置：位于筛选区域右侧，与"查询"、"重置"、"导出"按钮并排显示，按钮文字为"列设置"，图标为齿轮或列表图标。
 点击交互：点击按钮后弹出下拉面板（宽度约300px），面板内展示所有可配置列的复选框列表。每个复选框前显示列名称，勾选表示显示该列，取消勾选表示隐藏该列。
 固定列规则：前3列（#、合同编号、项目经理）和最右侧的操作列为固定列，在列设置面板中显示为灰色禁用状态，不可取消勾选，确保这些关键列始终可见。
 横向滚动行为：当表格宽度超出容器时，用户横向滚动表格内容，固定的前3列始终停留在左侧可见区域，操作列始终停留在右侧可见区域，中间的可配置列随滚动条移动。第3列（项目经理）右侧添加垂直阴影效果（box-shadow），视觉上区分固定列与滚动列的边界。
 保存设置：用户调整列可见性后，设置自动保存至浏览器本地存储（localStorage），下次打开页面时自动恢复用户的列设置偏好。
超期天数排序按钮（已确认新增）：
 按钮位置：位于"计划结束"列的表头单元格内，列名称"计划结束"右侧显示排序图标（上下箭头或排序符号）。
 排序逻辑：点击排序按钮后，系统计算每个派单的超期天数（当前日期 - 计划结束日期），按超期天数降序排列表格数据。超期天数最多的派单排在最前面，未超期的派单排在后面。
 视觉反馈：
o点击后排序图标变为"向下箭头"，表示降序排列状态
o再次点击可切换为升序排列（向上箭头），或取消排序恢复默认顺序
o当前排序列的表头背景色变为浅蓝色（#e3f2fd），提示用户当前按哪一列排序
超期标识：对于已超期的派单，"计划结束"列的日期文字标红显示，并在日期后方添加超期天数标注（如"2026-02-28 超期15天"），红色文字提醒用户关注超期项目。</t>
  </si>
  <si>
    <t>3.4 查询筛选条件
执行管理页面顶部提供筛选区域，采用两行布局，用户可通过多个维度快速筛选派单数据。
筛选区域整体布局：
筛选区域位于页面标题下方，表格上方，背景色为浅灰色（#f5f5f5），内边距16px
采用两行布局，每行包含多个筛选字段，字段之间水平排列，间距12px
每个筛选字段由"标签 + 输入框/下拉框"组成，标签宽度80px，输入框宽度根据字段类型调整（普通输入框180px，日期选择器200px）
第一行筛选条件（8个字段）：
1.当前角色：下拉选择框，宽度150px，选项包括：全部、项目经理、管理员、领导等。默认根据登录用户角色自动选中
2.合同编号：文本输入框，支持模糊搜索，占位符文字"请输入合同编号"
3.项目经理：文本输入框，支持模糊搜索，占位符文字"请输入负责人姓名"
4.区域经理：文本输入框，支持多值搜索（详见下方多值搜索规则），占位符文字"支持多人搜索，如：张经理、李经理"
5.项目编号：文本输入框，支持模糊搜索
6.派单编号：文本输入框，支持精确或模糊搜索
7.监造方式：下拉选择框，选项：全部、驻厂、巡检
8.执行状态：下拉选择框，选项：全部、未开始、进行中、已完成、超期
第二行筛选条件（6个字段，已确认新增）：
1.项目总监：文本输入框，支持模糊搜索
2.总监代表：文本输入框，支持模糊搜索
3.制造厂：文本输入框，支持模糊搜索制造厂名称
4.计划开始时间：日期范围选择器，包含"开始日期"和"结束日期"两个日期输入框，支持日历弹窗选择
5.计划结束时间：日期范围选择器，同上
6.是否使用监造平台：下拉选择框，选项：全部、是、否
筛选区域按钮（第二行右侧）：
查询按钮：蓝色主按钮，宽度80px，文字"查询"，点击后根据筛选条件过滤表格数据
重置按钮：灰色次要按钮，宽度80px，文字"重置"，点击后清空所有筛选条件，恢复默认状态
导出按钮：绿色按钮，宽度80px，文字"导出"，点击后导出当前筛选结果（支持Excel格式）
列设置按钮：灰色按钮，宽度100px，文字"列设置"，图标为齿轮，点击后弹出列可见性配置面板
多值搜索规则（区域经理字段专用）：
用户可在"区域经理"输入框中输入多个经理姓名，使用顿号（、）或逗号（,）分隔
示例输入："张经理、李经理、王经理" 或 "张经理,李经理,王经理"
系统自动解析输入内容，提取所有经理姓名，执行OR逻辑查询（即返回区域经理为张经理 OR 李经理 OR 王经理的所有合同数据）
输入框右侧显示提示图标（?），鼠标悬停时显示tooltip："支持多人搜索，用顿号或逗号分隔"</t>
  </si>
  <si>
    <t>1.是否需要当前角色下拉框？
2.执行状态的超期如何计算</t>
  </si>
  <si>
    <t>3.5 权限规则
执行管理模块根据用户角色自动过滤可见数据，确保用户只能查看权限范围内的合同和派单信息。
角色权限定义：
1.项目经理角色：
o数据范围：登录后只能查看"项目经理"字段为当前用户姓名的合同及其关联的派单数据
o过滤逻辑：系统自动在后台添加过滤条件 WHERE 项目经理 = 当前登录用户姓名
o界面表现：用户看到的表格中只显示自己负责的合同，无法通过筛选条件查看其他负责人的数据
o操作权限：可编辑自己负责合同下的派单信息（通过"编辑"按钮）
2.管理员/领导角色：
o数据范围：可以查看系统中所有合同和派单数据，无数据过滤限制
o过滤逻辑：不添加任何后台过滤条件，返回全量数据
o界面表现：用户可通过筛选条件自由查询任意项目经理、区域经理、项目总监的数据
o操作权限：可编辑所有派单信息，具有最高数据访问和操作权限
3.前端演示模式：
o为便于演示和测试，页面顶部筛选区域提供"当前角色"下拉选择器
o用户可手动切换角色（项目经理、管理员、领导等），系统根据选中角色动态过滤表格数据
o实际生产环境中，该角色选择器应隐藏或移除，系统根据登录用户的真实角色（从用户会话或权限系统获取）自动应用数据过滤规则
o角色切换后，表格数据自动刷新，显示该角色权限范围内的数据
权限校验时机：
页面加载时：根据登录用户角色初始化数据过滤
筛选查询时：在用户点击"查询"按钮后，后台同时应用角色权限过滤和用户输入的筛选条件
数据导出时：导出的数据同样受角色权限限制，只导出用户可见范围内的数据</t>
  </si>
  <si>
    <t>3.6 界面交互
执行管理模块提供多种交互优化，提升大数据量场景下的用户体验。
1. 前3列固定：
固定列范围：表格的前3列（#、合同编号、项目经理）使用CSS sticky定位，在用户横向滚动表格时始终固定在左侧可见区域
视觉分隔：第3列（项目经理）的右侧边缘添加垂直阴影效果（box-shadow: 2px 0 4px rgba(0,0,0,0.1)），视觉上明确区分固定列与可滚动列的边界
滚动行为：当用户向右滚动表格内容时，前3列保持静止，第4列及之后的列随滚动条移动。滚动到最右侧时，固定列的阴影效果依然存在
响应式处理：在小屏幕设备上（宽度&lt;1200px），固定列功能自动禁用，避免固定列占用过多屏幕空间
2. 操作列固定：
固定位置：表格最右侧的"操作"列使用sticky定位固定在右侧，横向滚动时始终可见
视觉分隔：操作列左侧边缘添加垂直阴影效果（box-shadow: -2px 0 4px rgba(0,0,0,0.1)），与可滚动列区分
按钮布局：操作列内包含"编辑"按钮，按钮宽度60px，蓝色主按钮样式，点击后弹出编辑弹窗
3. 列可见性设置：
设置入口：用户点击筛选区域的"列设置"按钮，弹出列配置面板
配置面板：下拉面板宽度300px，最大高度400px，超出时显示垂直滚动条。面板内列出所有可配置列，每列一个复选框
固定列限制：前3列（#、合同编号、项目经理）和操作列在面板中显示为灰色禁用状态，复选框不可取消勾选
即时生效：用户勾选/取消勾选某列后，表格立即刷新，显示/隐藏对应列，无需点击"确定"按钮
设置持久化：用户的列可见性配置保存至浏览器localStorage，下次打开页面时自动恢复
4. 方案C展开/收起功能：
适用场景：仅在"方案C - 分组展示"模式下生效，该模式采用合同-派单层级结构展示数据
展开/收起按钮：每个合同标题行的最左侧（#列）显示展开/收起图标按钮
o展开状态：显示向下箭头图标（▼），点击后收起该合同下的派单列表
o收起状态：显示向右箭头图标（▶），点击后展开该合同下的派单列表
默认状态：页面初次加载时，所有合同默认为展开状态，用户可看到所有派单数据
交互反馈：点击按钮后，图标旋转动画（0.2s过渡），派单行平滑展开/收起（高度动画）
状态记忆：用户的展开/收起状态保存至sessionStorage，刷新页面后保持当前状态
5. 方案C浮动滚动条：
触发条件：当方案C表格的实际宽度超出容器宽度时，自动在浏览器窗口底部显示浮动滚动条
滚动条样式：
o位置：固定在浏览器窗口底部（position: fixed; bottom: 0），z-index: 9999确保始终在最上层
o宽度和位置：滚动条的left和width动态计算，与方案C表格容器的位置和宽度完全对齐
o高度：17px，背景色为浅灰色（#f5f5f5），顶部边框为蓝色（2px solid #1976d2）
双向同步：
o用户拖动浮动滚动条时，方案C表格同步横向滚动
o用户直接滚动方案C表格时，浮动滚动条同步移动
显示/隐藏逻辑：
o仅在方案C标签页激活时显示浮动滚动条
o切换到其他方案（方案A、方案B、原列表）时，浮动滚动条自动隐藏
o当表格宽度小于容器宽度（无需横向滚动）时，浮动滚动条自动隐藏
响应式更新：窗口大小改变时，浮动滚动条的位置和宽度自动重新计算，确保始终与表格对齐
6. 完整分页控件：
分页位置：位于表格底部，右对齐显示
分页信息：左侧显示统计信息"共X 个合同，Y 个派单"，文字颜色为灰色（#666）
分页按钮：
o上一页按钮：文字"上一页"，灰色边框按钮，当前为第1页时禁用（灰色不可点击）
o页码按钮：显示页码数字（1、2、3...），每个页码一个按钮，当前页按钮为蓝色背景高亮显示，其他页码为白色背景
o下一页按钮：文字"下一页"，灰色边框按钮，当前为最后一页时禁用
页码显示规则：
o总页数≤7页：显示所有页码按钮
o总页数&gt;7页：显示首页、末页、当前页及其前后各2页，中间用省略号（...）表示
o示例：1 ... 4 5 [6] 7 8 ... 20（当前在第6页，共20页）
点击交互：点击页码按钮后，表格数据切换到对应页，当前页按钮高亮，URL参数同步更新（如?page=2）</t>
  </si>
  <si>
    <t>执行管理原定按派单维度展示数据，这里需要改成以合同为维度按方案A、B、C展示？</t>
  </si>
  <si>
    <t>增加每月按合同(CI编号)进行产值、成本数据的导入与录入，用于未上平台的合同参与产值与成本统计。对于有CI编号的情况，可按月录入产值与成本的结果数据。</t>
  </si>
  <si>
    <t>4.工时记录（以合同号为维度）</t>
  </si>
  <si>
    <t>4.1 支持角色
系统根据当前登录用户所属角色，自动赋予对应的数据查看权限范围。不同角色登录后，页面展示的合同数据范围不同。
项目总监：查看当前用户监管的项目下合同号(CI编号)的工时信息
项目经理：查看当前用户有权限的合同号(CI编号)的工时信息
总监代表：查看当前用户作为总监代表的派单的工时信息
领导层、管理员：查看所有派单的工时信息</t>
  </si>
  <si>
    <t>4.2 工时信息展示字段（一级列表）
合同编号、合同名称、委托方、制造厂、监造金额、项目经理、合同签订时间、合同起始时间、合同终止日期、合同形式、工时。
合同形式以彩色标签展示（开口合同为蓝色标签、总价合同为绿色标签）；工时数值加粗右对齐显示。
表格下方配置分页组件：左侧显示总记录数及每页条数选择器（支持10/20/50条/页）；中间为翻页按钮（上一页/当前页码/下一页，当前页高亮）；右侧提供前往指定页码输入框。</t>
  </si>
  <si>
    <t>4.3 查询时筛选条件
筛选面板分为常规筛选和高级筛选两部分。
常规筛选（默认展示，共6项）：合同编号（文本模糊搜索）、合同名称（文本模糊搜索）、委托方（文本模糊搜索）、制造厂（文本模糊搜索）、项目经理（文本模糊搜索）、合同形式（下拉选择：全部/开口合同/总价合同/框架协议合同）。
高级筛选（默认折叠，点击"高级查询"按钮展开，共4项）：监造金额范围（输入最小值和最大值）、合同签订时间（日期选择器）、合同起始日期（日期选择器）、合同终止日期（日期选择器）。
筛选区域操作按钮：查询（触发关联查询刷新列表）、重置（清空所有条件恢复默认）、高级查询（展开/折叠高级筛选行）、导出（导出当前列表数据）。</t>
  </si>
  <si>
    <t>4.4 列表操作栏按钮
查看：点击查看按钮，打开二级派单列表页面。</t>
  </si>
  <si>
    <t>4.5 二级页面：派单列表（根据选择的合同号，展示所有使用该合同号的派单）
合同摘要卡片区域：弹窗顶部横向排列4张渐变色卡片，分别显示：合同编号（蓝色卡片）、合同名称（绿色卡片）、派单数量（橙色卡片）、累计工时天数（紫色卡片）。卡片内容根据当前选中合同动态填充。
统计汇总区域：合同摘要下方横向排列4个统计项，分别显示：驻厂派单数量、巡检派单数量、即将超期派单数量、涉及辅助人员总人数。
查询时筛选条件：筛选条件面板标题说明文本框支持多值复合查询（用顿号或逗号分隔可同时匹配多个值）。共13个筛选项：派单编号（多值文本）、监造形式（下拉：全部/驻厂/巡检）、辅助人员（多值文本）、区域经理（多值文本）、制造厂（多值文本）、总监代表（多值文本）、派单状态（下拉：全部/进行中/已完成/待派遣/异常超期）、计划开始时间范围、计划结束时间范围、发起时间范围、监造结束时间范围、剩余时间天数范围（数值区间）、工时区间天数（数值区间）。
筛选区域按钮：查询（关联查询）、重置。
展示字段：派单编号、监造形式（驻厂/巡检彩色标签）、辅助人员（多个，每个姓名为可点击蓝色链接，多人换行显示）、区域经理、制造厂、总监代表、计划开始时间、计划结束时间（超期时以红色加粗文字并附⚠️图标显示）、发起时间、派单状态（彩色状态标签）、监造结束时间、剩余时间（即将超期时以橙色加粗文字显示）、工时。
表格底部合计行：表格末尾设有合计行，显示本页所有派单的工时汇总数。
导出功能：提供三种导出方式：导出汇总+明细（Excel，Sheet1为派单列表汇总，Sheet2为各派单辅助人员工时明细）、导出人员工时明细（Excel，按人员维度展开每人一行，含派单编号、姓名、每日打卡、工时小计）、导出列表数据（CSV，仅当前列表信息，适合二次加工）。
进入三级页面方式：直接点击辅助人员列中某人员的姓名链接，即可穿透进入该人员的打卡记录与日历详情弹窗，无独立操作列查看按钮。</t>
  </si>
  <si>
    <t>4.6 三级页面：辅助人员工时记录
在二级派单列表中点击某辅助人员姓名后，弹出该人员的打卡记录与日历弹窗。
人员信息摘要区域：弹窗顶部展示人员基本信息摘要卡片，包含：姓名、所属派单、本月出勤天数、本月休息天数、异常记录天数。其中出勤、休息、异常三张卡片支持点击操作，点击后自动筛选下方打卡列表中对应类型的记录。
筛选条件区域：提供日期范围（开始日期和结束日期两个日期选择器）、打卡类型（下拉选择：全部/监理打卡/出勤打卡/外勤打卡/休息/请假/未打卡）两个筛选条件。操作按钮：查询、重置。
主体内容区域：采用左右双列布局。
左侧为打卡记录明细列表，展示字段包含：日期、上班时间、下班时间、打卡类型、状态、工时。点击列表中任意一行，在列表下方展开该条记录的详细信息，详情内容根据打卡类型不同而不同：监理打卡显示打卡地址、关联派单信息；外勤打卡显示外勤申请单信息；请假显示请假申请单信息；未打卡显示异常提示信息；休息显示休息说明。
右侧为工时日历，以月为单位展示该人员的工作日分布。有工作的日期着色显示（单派单为浅蓝色，多派单为深蓝色，颜色随派单数量增加而加深），休息日无背景色。鼠标悬停日期时弹出提示，显示当天所有关联派单编号。点击日历中有工作的日期后，在日历下方展开派单信息区域，列出该日关联的所有派单编号；点击派单编号后，关闭当前弹窗并返回至对应派单的二级页面查看派单详情。
返回操作：弹窗内提供"返回派单列表"按钮，点击后关闭当前弹窗，系统自动重新打开原合同的二级派单列表弹窗，用户可继续查看同一合同下的其他派单或人员信息，无需从一级页面重新进入。
工时手动调整弹窗（已确认）：提供工时调整入口，弹窗中可看到该人员在多个派单下的工时情况（成本维度和产值维度均显示），在总工时不变的前提下，手动调整各个派单分配的工时数，以便后续精确计算各派单成本和产值。</t>
  </si>
  <si>
    <t>考勤异常的场景</t>
  </si>
  <si>
    <t>5.监理人员动态</t>
  </si>
  <si>
    <t>5.1 支持角色
项目总监：查看当前用户监管项目下辅助人员信息
项目经理：查看当前用户有权限的合同号(CI编号)相关的辅助人员信息
总监代表：查看当前用户监管的派单的辅助人员信息
领导层、管理员：查看所有辅助人员信息
以上角色为系统初始化默认配置，不代表固定不可变更，可在权限管理中进行角色配置调整。</t>
  </si>
  <si>
    <t>5.2 监理人员动态信息展示字段
姓名、性别、民族、政治面貌、文化程度、身份证、出生年月、年龄、入职日期、毕业院校、专业、职称、监理师证书。</t>
  </si>
  <si>
    <t>5.3 查询时筛选条件
页面标题栏右侧提供角色选择下拉框，标签显示"当前角色："，下拉选项包含全部支持角色（默认选中"项目经理"）。用户切换角色后，页面动态刷新，仅显示该角色权限范围内的人员信息。
筛选面板中，筛选条件分三行排列：
第一行：姓名（文本输入框）、性别（下拉选择：全部/男/女）、民族（文本输入框）、政治面貌（下拉选择：全部/党员/团员/群众）、文化程度（下拉选择：全部/本科/硕士/博士/大专）、职称（文本输入框）。
第二行：出生年月(起)（月份选择器）、出生年月(止)（月份选择器）、年龄(最小)（数字输入框）、年龄(最大)（数字输入框）、入职日期(起)（日期选择器）、入职日期(止)（日期选择器）。
第三行：毕业院校（文本输入框）、专业（文本输入框）、监理师证书（文本输入框）。
其中"出生年月"、"年龄"、"入职日期"三个字段支持范围查询，用户可分别输入起始值与结束值（或最小值与最大值），系统筛选出在该范围内的人员记录。例如可查询"年龄在30-40岁之间"或"入职日期在2018年1月至2020年12月之间"的人员。
筛选区域按钮：查询、重置、导出。点击导出按钮后，系统将当前筛选条件下的人员信息列表导出为Excel文件，导出字段包含：序号、姓名、性别、民族、政治面貌、文化程度、身份证号、出生年月、年龄、入职日期、毕业院校、专业、职称、监理师证书。</t>
  </si>
  <si>
    <t>1.当前角色下拉框内容为本功能支持的所有角色？
2.页面的列表数据来源于用户表？或来源于派单关联的辅助人员？</t>
  </si>
  <si>
    <t>5.4 操作栏按钮
查看派单按钮：点击可进入二级派单列表页面，以人为维度汇总当前所选人员名下的所有派单信息。弹窗标题格式为"派单汇总 - [人员姓名]"，例如"派单汇总 - 张三"。按钮文字"查看派单"明确传达了点击后的操作内容，让用户清楚知道点击后会看到该人员的派单信息。</t>
  </si>
  <si>
    <t>5.5 二级页面（以人员为维度的派单列表）
用户在一级页面点击某个人员的"查看派单"按钮后，系统打开一个宽屏弹窗，标题显示为"派单汇总 - [人员姓名]"。
信息字段展示：派单编号、监造形式、辅助人员、制造厂、总监代表、计划开始时间、计划结束时间、发起时间、派单状态、监造结束时间、剩余时间、工时。
筛选条件：筛选区域提供18个筛选条件，分三行排列：
第一行（基础筛选）：派单编号（文本输入框）、监造形式（下拉选择：全部/驻厂/巡检）、辅助人员（文本输入框）、制造厂（文本输入框）、总监代表（文本输入框）、派单状态（下拉选择：全部/进行中/已完成/待派遣）。
第二行（时间范围筛选）：计划开始(起)（日期选择器）、计划开始(止)（日期选择器）、计划结束(起)（日期选择器）、计划结束(止)（日期选择器）、发起时间(起)（日期选择器）、发起时间(止)（日期选择器）。
第三行（扩展范围筛选）：监造结束(起)（日期选择器）、监造结束(止)（日期选择器）、剩余天数(最小)（数字输入框，单位：天）、剩余天数(最大)（数字输入框，单位：天）、工时(最小)（数字输入框，单位：天）、工时(最大)（数字输入框，单位：天）。
筛选区域按钮：查询、重置、导出。点击导出按钮后，系统将当前筛选结果的派单列表导出为Excel文件，导出字段包含：派单编号、监造形式、辅助人员、制造厂、总监代表、计划开始、计划结束、发起时间、派单状态、监造结束、剩余时间、工时。
同时保留区域经理筛选字段。
表格栏操作按钮：查看按钮，点击后打开三级弹窗。</t>
  </si>
  <si>
    <t>1.待派遣是什么状态的派单</t>
  </si>
  <si>
    <t>5.6 三级页面（辅助人员工时明细）
人员切换按钮组：弹窗内容最顶部，横向排列同一派单下所有辅助人员的切换按钮，左侧有"辅助人员："灰色标签，右侧为人员姓名按钮列表。当前查看的人员按钮显示为蓝色实心样式，其余人员按钮显示为灰色边框空心样式。点击其他人员按钮后，弹窗立即刷新显示该人员的数据，弹窗标题随之更新为新人员的姓名与派单编号。
人员信息摘要卡片：人员切换按钮组下方，横向排列5张渐变色信息卡片（5列等宽网格布局）：第1张（浅蓝色）显示人员姓名；第2张（浅紫色）显示派单编号；第3张（浅绿色）显示本月出勤天数，点击后自动将打卡类型筛选框切换为"监理打卡"；第4张（浅橙色）显示本月休息天数，点击后筛选框切换为"休息"；第5张（浅粉色）显示异常记录天数，点击后筛选框切换为"未打卡"。后三张卡片鼠标悬停时显示手型光标和对应的筛选提示tooltip。
字段展示：姓名、日期、上班时间、下班时间、打卡类型、签到状态、工时。
筛选条件：摘要卡片下方为筛选面板（浅灰色背景），4列等宽横向排列：第1列"开始日期"（日期选择器）、第2列"结束日期"（日期选择器，与第1列组合构成日期范围查询）、第3列"打卡类型"（下拉选择框，选项：全部、监理打卡、出勤打卡、外勤打卡、休息、请假、未打卡，默认选中"全部"）、第4列操作按钮（蓝色"查询"按钮 + 灰色边框"重置"按钮）。
打卡记录列表：筛选面板下方，页面分为左右等宽双栏布局（左侧打卡记录列表，右侧工时日历）。打卡记录列表带圆角卡片外框，表头包含6列：日期、上班、下班、打卡类型、状态、工时。列表最大高度400px，超出时纵向滚动。表格行根据打卡类型显示不同背景色：休息日行为淡黄色（#fffbeb）、请假行为淡橙色（#fff3e0）、未打卡行为淡红色（#ffebee）、正常打卡行为白色。"打卡类型"列与"状态"列均使用彩色标签展示：监理打卡为蓝色、出勤打卡为青色、外勤打卡为紫色、休息为灰色/橙色、请假为橙色、未打卡及异常为红色。每行带手型光标，点击任意行展开下方打卡详细信息区域。列表底部提供分页功能，左侧显示总条数，右侧有上一页、页码、下一页按钮。
 打卡详细信息：点击列表任意行后，双栏布局下方展开详情区域（默认隐藏），浅灰色背景带圆角卡片外框，标题"📍 打卡详细信息"。详情内容根据打卡类型分6种情况展示：
监理打卡：两列网格展示打卡日期、打卡类型蓝色标签、上班打卡时间（含正常/迟到标识）、下班打卡时间（含正常/早退标识）、打卡地址、派单地址、备注；下方浅蓝色信息块显示关联派单信息（派单编号、制造厂、监造形式）。
出勤打卡：两列网格展示打卡日期、打卡类型青色标签、上下班时间、打卡地址、地理围栏验证结果（"✓ 在围栏内"）、备注。
外勤打卡：两列网格展示打卡日期、打卡类型紫色标签、上下班时间、打卡地址、备注；下方浅紫色信息块显示外勤申请信息（申请单号、外勤地点、外勤事由、审批状态）。
请假：两列网格展示日期、请假橙色标签；下方浅橙色信息块显示请假申请信息（申请单号、请假类型、请假时间、请假事由、审批状态、审批人）。
休息：展示日期、休息日灰色标签、灰色小字说明"周末休息，无需打卡"。
未打卡：两列网格展示日期、未打卡红色标签；下方浅红色信息块显示"⚠️ 异常信息"及提示"该日期应打卡但未打卡，请及时补卡或说明原因"。
工时日历：默认展示当前月份，以7列网格日历形式展示该人员在该派单下的工作日期（第一行为星期标题：一二三四五六日）。日期格子规则：仅关联1个派单的工作日显示浅蓝色背景，关联2个及以上派单的工作日显示较深蓝色背景，休息日或无工作日期显示透明背景无交互。每天若存在派单签到记录增加标记，一天存在多个派单签到记录时颜色随派单数增加加深，鼠标悬停时展示当前选中日期的所有派单编号。日历下方显示图例说明（浅蓝色=单派单、深蓝色=多派单、浅灰色=休息日）。点击有工作的日期后，在图例下方展开"日期派单信息"区域（浅蓝色背景#f0f9ff，带圆角边框），标题显示"📅 [点击日期] 派单信息"，内容逐行列出该日期关联的所有派单编号（蓝色加粗可点击链接样式）。用户点击某个派单编号链接后，系统关闭当前三级弹窗，并打开该人员的二级派单汇总弹窗。点击具体派单编号可跳转到当前菜单中对应派单的二级页面。</t>
  </si>
  <si>
    <t>6.开票明细管理</t>
  </si>
  <si>
    <t>6.1 支持角色
项目总监：查看当前用户监管项目下开票信息
项目经理：查看当前用户有权限的合同号(CI编号)相关的开票信息
项目经理：查看当前用户负责的合同相关的开票信息
财务、领导层、管理员：查看所有开票信息
此内容做成权限配置项。</t>
  </si>
  <si>
    <t>6.2 表头区域按钮
支持 Excel ，导入模板暂未确定，但导入数据中必须包含合同编号（唯一标识）</t>
  </si>
  <si>
    <t>6.3 新增按钮
点击后出现弹窗，包含以下输入字段（暂定，后续可调整）：
o开票组织（用户输入）、开票客户（用户输入）、开票日期（日期选择）、发票号（用户输入）、币种（下拉选择）、总数量（用户输入）、总金额（用户输入）、预计回款时间（日期输入）、项目经理（用户输入）、合同编号（下拉框选择，必填唯一）、项目名称（根据合同编号自动带出）、凭证号（用户输入）、备注（用户输入）。
弹窗按钮：
o取消：不存数据，不进行必填校验，数据不生效
o保存：暂存数据，不进行必填校验，数据不生效
o提交：做必填校验，提交后数据直接生效，无需走审批流（流程状态和审批结果字段仅在修改/删除时才触发）</t>
  </si>
  <si>
    <t>6.4 开票明细信息展示字段
开票组织、开票客户、开票日期、发票号、币种、总数量、总金额、预计回款时间、项目经理、合同编号、项目名称、凭证号、备注、流程状态、审批结果。</t>
  </si>
  <si>
    <t>6.5 查询时筛选条件（已确认）
以全部展示列字段为基础，全字段均设置为查询条件（确保不遗漏任何检索维度），支持高级筛选弹窗（用户自选字段+输入值的组合查询构造器，参照门户后台用户管理下"高级筛选"组件适配）。
主要查询字段包括：合同编号、开票时间段、总金额范围+排序、预计回款时间、项目经理、凭证号、审批结果、发票号、开票客户、项目名称等。</t>
  </si>
  <si>
    <t>6.6 表格操作栏按钮（已确认）
修改：仅暂存数据可修改。打开弹框渲染已填数据，包含保存、提交按钮；提交修改需走审批流。
删除：仅暂存和驳回的数据可删除；确认提交后的数据如需删除，需走审批流。点击弹框确认是否删除，确认后触发审批。
重新提交：仅被驳回的数据可重新提交。点击打开弹框，渲染已填数据，修改后可保存（暂存，不生效）或提交（走审批流）。</t>
  </si>
  <si>
    <t>开票信息明确不与中化 ERP 做接口对接，改为从中化系统导出，然后手动导入开票明细，导入模板由业务方后续提供。</t>
  </si>
  <si>
    <t>7.回款明细管理</t>
  </si>
  <si>
    <t>7.1 支持角色
项目总监：查看当前用户监管项目下回款信息
项目经理：查看当前用户有权限的合同号(CI编号)相关的回款信息
总监代表：查看当前用户负责的派单的回款信息
项目经理：查看当前用户负责的合同相关的回款信息
财务、领导层、管理员：查看所有回款信息
此内容做成权限配置项。</t>
  </si>
  <si>
    <t>7.2 回款明细信息展示（已确认：合并跨模块字段联展）
每条回款记录的展示行中，除本身回款基本信息外，必须同屏并列展示以下关联项目收入侧的关键财务指标（与产值、收入、开票模块联合关联）：
o该合同编号下：合同签约总金额
o该合同编号下：累计已报产值
o该合同编号下：已报收入（含纠正后）
o该合同编号下：历史已开票总金额
o待开票缺口（已报收入 - 历史开票总金额）
o未收款余额（已开票总金额 - 已收款总金额）
o本次回款/本次开票金额的比率（当次回款兑付率）
o本次回款/合同总金额的比率（总体进度收款完结度）
基本字段：合同编号、对方单位、项目名称、项目经理、回款金额、回款时间、流程状态、审批结果。</t>
  </si>
  <si>
    <t>1.本次回款与本次开票取最近一次回款与开票记录？</t>
  </si>
  <si>
    <t>7.3 查询筛选条件（已确认）
采用高级筛选组件（弹窗式，用户自选字段组合查询），同时将关键字段设为常驻快速筛选区。
主要查询字段：合同编号、回款时间段、项目名、项目经理、开票/回款金额区间及排序、审批状态、备注模糊查询。
可按：人员维度、时间维度、金额维度、合同维度 进行精细搜索，确保不遗漏任何查询条件。
筛选区域按钮：查询、重置。</t>
  </si>
  <si>
    <r>
      <rPr>
        <sz val="11"/>
        <color theme="1"/>
        <rFont val="宋体"/>
        <charset val="134"/>
        <scheme val="minor"/>
      </rPr>
      <t xml:space="preserve">7.4 表头区域按钮
新增：1.弹框字段包含：合同编号（下拉，必填）、对方单位、项目（合同编号带出）、项目经理（合同编号带出）、回款金额、回款时间、回款凭证（支持 PDF/图片，支持多文件上传，自动压缩保证清晰度，无格式限制）、备注。
</t>
    </r>
    <r>
      <rPr>
        <sz val="11"/>
        <color theme="9" tint="-0.25"/>
        <rFont val="宋体"/>
        <charset val="134"/>
        <scheme val="minor"/>
      </rPr>
      <t>2.用户选择一个合同进行回款数据新增时，系统提供该合同已开票未冲抵的开票记录供用户选择(按开票日期升序排列)；填写回款金额时，自动勾选并冲抵开票列表中的金额，并记录冲抵发票信息；回款金额较大时，可由上至下勾选多个开票信息进行冲抵(遵循先进先出规则)</t>
    </r>
    <r>
      <rPr>
        <sz val="11"/>
        <color theme="1"/>
        <rFont val="宋体"/>
        <charset val="134"/>
        <scheme val="minor"/>
      </rPr>
      <t xml:space="preserve">
o弹窗按钮：保存（暂存，不走审批）、提交（新增提交直接入库，无需审批）。
汇总（多维度）：点击打开汇总弹窗，支持以下维度进行汇总统计：
o以项目经理（人）为维度：统计各人的回款总金额、各合同明细，展示个人回款业绩（参考现有汇总按钮但更细化）。
o以合同（合同编号）为维度：统计该合同的回款总额及时间分布。
o支持指定筛选条件（合同编号、对方单位、项目、项目经理）后执行汇总，以列表形式展示结果。
 &gt; 方案并存说明（2026.03.11确认）：
 &gt; 本弹窗版「多维业绩大盘汇总」为 方案一，§7.6 独立页面版为 方案二。
 &gt; 两者为平级并存的两套方案，功能各有侧重，由使用者按需选择。
 &gt; 后续将在会议中确认选择其中一套方案实施。
 &gt; - 方案一（弹窗版）：回款明细页面内置的快捷汇总入口，不离开当前页面即可查看
 &gt; - 方案二（独立页面版）：独立菜单页面，含KPI卡片、搜索、穿透抽屉、导出等完整能力
 &gt;
 &gt; 弹窗版抽屉交互补充：
 &gt; 弹窗中「按项目经理聚合」Tab内点击行或「抽屉详情」按钮时，穿透抽屉以 absolute 定位
 &gt; 贴附在弹窗框体（modalBox）的右侧边缘弹出（而非屏幕右侧），宽420px，
 &gt; 切换到「按合同立项聚合」Tab时自动收起抽屉。
</t>
    </r>
    <r>
      <rPr>
        <sz val="11"/>
        <color theme="9" tint="-0.25"/>
        <rFont val="宋体"/>
        <charset val="134"/>
        <scheme val="minor"/>
      </rPr>
      <t>导入：用户导入回款回款数据时，遵循先进先出原则自动冲抵开票数据。
查阅水单：查看本合同下所有回款明细记录</t>
    </r>
  </si>
  <si>
    <t>7.5 表格操作栏按钮（已确认）
修改：仅暂存数据可修改。修改并提交需走审批流。
删除：仅暂存和驳回的数据可删除。已提交确认的数据如需删除，需走审批流。
重新提交：仅被驳回的数据可重新提交，走审批流。</t>
  </si>
  <si>
    <t>7.6 平台汇总透视（独立页面）（2026.03.11 完整重写）
 &gt; 此页面为回款明细管理的汇总弹窗功能的独立页面化版本（方案二，与§7.4弹窗版方案一平级并存，待后续会议确认选择其中一套实施）。
 &gt; 菜单位置：回款明细管理 与 提醒设置 之间，作为同级独立菜单项。
（1）页面顶部 —统览卡片区（4个）
| 卡片 | 数据说明 |
|---------|---------|
| 团队今年总计签约 | 实时汇总当年所有非终止合同的签约总额 |
| 当年累计开票总额 | 当年已录入系统的发票金额总和 |
| 当年累计真金回笼 | 当年实际到账的回款金额总和 |
| 未收账预警 | 已开票但超期未收回的金额总和（累计开票 - 累计回款） |
（2）维度切换 — 双Tab设计
通过Tab按钮切换两种聚合维度，每个Tab下有独立的搜索栏、数据表和导出按钮。
Tab1：按项目经理聚合
- 搜索栏：项目经理姓名（模糊匹配）、月份选择、查询/重置/导出按钮
- 表格字段：
| 列名 | 说明 |
|------|------|
| 项目经理 | 项目经理姓名 |
| 管辖合同数 | 该经理名下有效合同总数 |
| 管辖总金额 | 该经理名下合同签约总额 |
| 累计开出票据 | 该经理名下合同的累计开票金额 |
| 真金回笼款(元) | 该经理名下合同的累计实际回款金额 |
| 综合兑付率 | 真金回笼款 ÷ 累计开出票据 × 100% |
| 未收款坏账额 | 累计开出票据 - 真金回笼款 |
| 操作 | 「抽屉详情」按钮，点击打开穿透抽屉 |
- 行点击交互：点击任意行或「抽屉详情」按钮，打开该经理的管辖项目穿透抽屉（详见下方第4点）
Tab2：按合同立项聚合
- 搜索栏：合同编号、对方单位（模糊匹配）、项目经理、查询/重置/导出按钮
- 表格字段：
| 列名 | 说明 |
|------|------|
| 合同编号 | CI编号（可点击跳转合同详情） |
| 对方单位 | 合同甲方名称 |
| 项目经理 | 合同负责项目经理 |
| 合同规模 | 合同签约金额 |
| 累计变现(回款) | 该合同累计实际回款金额 |
| 回款笔数 | 该合同下回款记录总条数 |
| 应开未开(缺口) | 已报收入 - 历史开票总金额 |
| 结款健康度指示 | 标签：结算完美闭环(绿) / 高风险悬空(橙) |
（3）Tab切换行为规则
- 切换Tab时，自动关闭已打开的穿透抽屉
- 两个Tab各自保持独立的搜索条件状态
（4）穿透抽屉 — 项目经理管辖明细
- 触发方式：在「按项目经理聚合」Tab中点击行或「抽屉详情」按钮
- 抽屉位置：
 - 页面版：固定在屏幕右侧（fixed定位，宽500px）
 - 弹窗版：贴附在弹窗右边缘（absolute定位，宽420px）
- 抽屉标题：动态显示「【{项目经理名}】 - 管辖维度项目穿透明细表」
- 抽屉内容：搜索栏（合同编号/对方单位 + 状态筛选）+ 明细表格
- 明细表格字段：合同编号、对方单位、合同规模、累计回款
- 关闭方式：点击关闭按钮或切换Tab时自动关闭
（5）导出功能 — 各Tab专属自定义列
每个Tab的搜索栏中配备独立的「📥 导出当前数据」按钮，点击后弹出导出预览弹窗。
导出弹窗遵循§13全局导出规范（格式自选、列可勾选、数量可控），但各Tab的字段清单池不同：
项目经理维度导出列（7列）：
项目经理、管辖合同数、管辖总金额、累计开出票据、真金回笼款(元)、综合兑付率、未收款坏账额
合同维度导出列（8列）：
合同编号、对方单位、项目经理、合同规模、累计变现(回款)、回款笔数、应开未开(缺口)、结款健康度指示</t>
  </si>
  <si>
    <t>8. 开票|回款提醒设置</t>
  </si>
  <si>
    <t>8.1 支持角色
项目经理：可查看与设置权限内数据
财务、管理员：可查看与设置所有数据</t>
  </si>
  <si>
    <t>8.2 信息展示字段
合同类型、委托方、合同编号、超期时间、提醒频率、来源（系统/用户设置）、状态。</t>
  </si>
  <si>
    <t>8.3 查询筛选条件
合同编号、合同类型、类型（开票/回款）、超期时间、提醒频率、来源、状态。
筛选区域按钮：查询（按筛选条件查询）、重置（重置为默认规则）。</t>
  </si>
  <si>
    <r>
      <rPr>
        <sz val="11"/>
        <color theme="1"/>
        <rFont val="宋体"/>
        <charset val="134"/>
        <scheme val="minor"/>
      </rPr>
      <t>8.4 表头按钮（已确认）
新增：弹框字段包含：类型（开票/回款）、合同类型、委托方、合同编号（下拉框选择）、超期时间（可配置天数阈值，到达阈值触发提醒）、提醒频率（单选，字典配置，可选项：每天/每周/每月/自定义天数）、状态（单选）、</t>
    </r>
    <r>
      <rPr>
        <sz val="11"/>
        <color theme="9" tint="-0.25"/>
        <rFont val="宋体"/>
        <charset val="134"/>
        <scheme val="minor"/>
      </rPr>
      <t>预警推送群组(来源于字典配置)、推送渠道(站内信-强制开启、工作邮箱、手机短信)</t>
    </r>
    <r>
      <rPr>
        <sz val="11"/>
        <color theme="1"/>
        <rFont val="宋体"/>
        <charset val="134"/>
        <scheme val="minor"/>
      </rPr>
      <t>。
o提醒频率天数做字典设置，支持后台新增/编辑/删除频率选项。
o弹窗按钮：取消（关闭）、保存（按设定进行定时提醒，推送通知至项目经理）。</t>
    </r>
  </si>
  <si>
    <t>8.5 表格操作列按钮
开启：仅关闭状态的提醒可开启。点击弹出确认框，确认后开启提醒，系统按规则推送站内消息至项目经理。
关闭：仅开启状态的提醒可关闭，点击确认后关闭提醒。
删除：点击弹框确认是否删除，确认则删除数据。</t>
  </si>
  <si>
    <r>
      <rPr>
        <sz val="11"/>
        <color theme="1"/>
        <rFont val="宋体"/>
        <charset val="134"/>
        <scheme val="minor"/>
      </rPr>
      <t>8.6 提醒推送机制（已确认）
推送方式：优先采用邮件发送（用户更倾向邮件通知），同时支持站内（PC）消息推送。
消息模板：在系统后台管理页面中，可针对不同的通知类型创建多套消息模板，由管理员选定其中一套为该通知类型的生效模板。模板内变量从该通知所在功能对应字段中动态引用，方便管理员定制不同场景下的通知内容。</t>
    </r>
    <r>
      <rPr>
        <sz val="11"/>
        <color theme="9" tint="-0.25"/>
        <rFont val="宋体"/>
        <charset val="134"/>
        <scheme val="minor"/>
      </rPr>
      <t>模板使用EL表达式占位；模板提供启用、停用功能，每个类型的消息仅允许启用一个模板</t>
    </r>
    <r>
      <rPr>
        <sz val="11"/>
        <color theme="1"/>
        <rFont val="宋体"/>
        <charset val="134"/>
        <scheme val="minor"/>
      </rPr>
      <t xml:space="preserve">
提醒频率：每天/每周/每月/自定义天数，均从字典配置中取值，不硬编码。
- 审批流静默挂起与免打扰机制（2026.03.11新增重要逻辑）：当系统判定满足开票/回款催款提醒阈值时，若该节点当前正处于项目经理发起的【申请延期/异常纠偏】审批流转中（即状态为"待审批"），系统应将该条目的提醒引擎临时挂起置为&lt;静默状态&gt;，暂停连环推送轰炸。必须等待流程彻底终结（同意则修正下次触发时间点；驳回则立即释放静默继续按原规则拉响警报）后执行新的倒排判定。
利润预警通知扩展（联动利润管理模块）：当合同利润率触碰字典配置的预警线时（如 ≤3%）也同步触发邮件/站内消息通知，通知内容包含该合同从签约到成本的完整关键数字</t>
    </r>
    <r>
      <rPr>
        <sz val="11"/>
        <color theme="9" tint="-0.25"/>
        <rFont val="宋体"/>
        <charset val="134"/>
        <scheme val="minor"/>
      </rPr>
      <t>(包含当前预警合同的派单明细以及每个派单的成本、产值数据)</t>
    </r>
    <r>
      <rPr>
        <sz val="11"/>
        <color theme="1"/>
        <rFont val="宋体"/>
        <charset val="134"/>
        <scheme val="minor"/>
      </rPr>
      <t>，方便收件人快速判断是哪个环节导致了预警。提醒频率可配置，持续预警时循环推送，用户可设置屏蔽。</t>
    </r>
  </si>
  <si>
    <t>增加项目经理每月固定填报产值时间、预计开票、预计回款的填报时间和入口，按照填写的时间检查项目经理每月是否填报了产值，未填报则按照设定的提醒规则发送消息提醒</t>
  </si>
  <si>
    <t>9. 动态成本核算管理</t>
  </si>
  <si>
    <t>9.1 动态成本管理 - 支持角色
项目总监：查看当前用户监管项目相关的合同成本数据
项目经理：查看自己负责的合同以及合同下所有成本数据
财务、领导层、管理员：查看所有合同及合同下所有成本数据
此项需设置为权限配置项。
页面标题与角色标识：
动态成本核算页面顶部标题栏分为左右两个区域。
左侧标题文字显示为"动态成本核算"，副标题括号内标注"动态成本管理-主页"，说明该页面为成本管理的主入口页面。
右侧显示当前登录用户的角色标识，格式为浅色背景的角色标签，文字内容为"当前角色：项目经理 — 点击各项成本跳转二级明细页"，其中角色名称加粗显示，并在破折号后附加操作提示说明。系统会根据不同角色的权限，自动过滤该角色可查看的合同数据范围。</t>
  </si>
  <si>
    <r>
      <rPr>
        <sz val="11"/>
        <color theme="1"/>
        <rFont val="宋体"/>
        <charset val="134"/>
        <scheme val="minor"/>
      </rPr>
      <t xml:space="preserve">9.2 动态成本管理 - 一级列表字段展示
成本计算公式面板（实际实现）：
页面标题栏下方设有成本计算公式面板，该面板使用浅蓝色背景，带圆角边框。面板标题显示为"📐 成本核算公式（封装为工具类统一管理）"。
面板内容区域横向排列三张公式卡片，每张卡片使用白色背景，带阴影效果：
第一张卡片 - 人员成本：
卡片标题："人员成本"
公式内容：
</t>
    </r>
    <r>
      <rPr>
        <sz val="11"/>
        <color rgb="FFC00000"/>
        <rFont val="宋体"/>
        <charset val="134"/>
        <scheme val="minor"/>
      </rPr>
      <t>正式员工、劳务派遣：</t>
    </r>
    <r>
      <rPr>
        <sz val="11"/>
        <color theme="1"/>
        <rFont val="宋体"/>
        <charset val="134"/>
        <scheme val="minor"/>
      </rPr>
      <t xml:space="preserve">
o个人成本 = 工时 × 单价
o若同时在N个派单：成本 = (工时÷N) × 单价
</t>
    </r>
    <r>
      <rPr>
        <sz val="11"/>
        <color rgb="FFC00000"/>
        <rFont val="宋体"/>
        <charset val="134"/>
        <scheme val="minor"/>
      </rPr>
      <t>技术服务：
o个人成本 = 工时 × 人员成本
o若同时在N个派单：成本 = (工时÷N) × 人员成本</t>
    </r>
    <r>
      <rPr>
        <sz val="11"/>
        <color theme="1"/>
        <rFont val="宋体"/>
        <charset val="134"/>
        <scheme val="minor"/>
      </rPr>
      <t xml:space="preserve">
o(保留2位小数)
第二张卡片 - 差旅成本：
卡片标题："差旅成本"
公式内容：
o按天调整: 总金额÷天数×各CI占天数
o按金额调整: 总金额÷CI数后手动修改
第三张卡片 - 固定支出：
卡片标题："固定支出"
公式内容：
o= 服务人员成本 + 资料费用 + 其他采购费用
面板右上角有一个收起/展开按钮，用户点击后可以折叠或展开公式面板，默认状态为展开显示。
一级页面筛选条件（实际实现）：
筛选面板使用浅灰色背景，位于成本计算公式面板下方。筛选条件采用多行网格布局，共包含7个筛选项：
第一行筛选条件（6个筛选项，横向排列）：
合同编号：文本输入框，支持关键词模糊搜索；
合同名称：文本输入框，支持关键词模糊搜索；
人员成本(元)：数值范围输入框，由"最小"和"最大"两个数字输入框组成，中间以波浪线"~"连接；
差旅成本(元)：数值范围输入框，格式同上；
固定支出成本(元)：数值范围输入框，格式同上；
成本合计(元)：数值范围输入框，格式同上。
操作按钮行从左到右依次为：
查询按钮（蓝色实心，带🔍图标）：点击后根据筛选条件过滤下方列表数据；
重置按钮（灰色边框，带↻图标）：点击后清空所有筛选条件并恢复默认列表；
固定成本填报按钮（绿色实心，带➕图标）：点击后打开固定成本填报弹窗；
导出按钮（灰色边框，带📥图标）：点击后打开导出选项弹窗。
导出功能详细说明：
点击导出按钮后，系统打开导出选项弹窗，弹窗标题为"导出成本明细"。弹窗内容包含以下选项：
导出范围选择：
单选按钮组，提供三个选项：
o导出当前页数据（默认选中）
o导出当前筛选结果全部数据
o导出全部数据（不受筛选条件限制）
导出内容选择：
复选框组，提供四个选项（默认全选）：
o☑ 导出人员成本明细表（单独Sheet）
o☑ 导出差旅成本明细表（单独Sheet）
o☑ 导出固定支出明细表（单独Sheet）
o☑ 导出成本汇总表（单独Sheet）
导出说明：
人员成本明细表：包含字段为姓名、工时、个人成本(元)、所属合同编号、计算日期
差旅成本明细表：包含字段为姓名、出差单编号、出差天数、分摊天数、差旅成本(元)、所属合同编号
固定支出明细表：包含字段为成本类型、服务人员成本(元)、资料费用(元)、其他采购费用(元)、金额(元)、产生日期、录入人员、所属合同编号
成本汇总表：包含字段为合同编号、合同名称、总工时(天)、人员成本(元)、差旅成本(元)、固定支出成本(元)、成本合计(元)
弹窗底部按钮：
取消按钮（灰色边框）：关闭弹窗，不执行导出
确定导出按钮（蓝色实心）：根据选择的选项生成Excel文件并下载，文件名格式为"动态成本明细_YYYYMMDD_HHmmss.xlsx"
成本列表表格：
筛选面板下方是成本列表表格区域，表格采用标准数据表格样式，带边框和斑马纹行背景。
表格列结构从左到右依次为：
1.序号列（#）：显示行号，从1开始递增；
2.合同编号列：显示合同的CI编号（如CI-2026-001），文字显示为蓝色带下划线的链接样式，用户点击后可查看该合同的详细信息；
3.合同名称列：显示合同的完整名称文字；
4.总工时(天)列：显示该合同下所有派单的累计工时天数，数值右对齐显示；
5.人员成本(元)列：显示该合同的人员成本总额，数值右对齐显示，保留两位小数，使用千分位分隔符格式化（如66,300.00）。列标题右侧带有上下箭头排序图标，用户点击后可按人员成本金额升序或降序排列表格数据。成本金额文字显示为蓝色带下划线的链接样式，用户点击后跳转到人员成本清单二级页面；
6.差旅成本(元)列：显示该合同的差旅成本总额，格式和交互方式与人员成本列相同，点击后跳转到差旅成本清单二级页面；
7.固定支出成本(元)列：显示该合同的固定支出成本总额，格式和交互方式与人员成本列相同，点击后跳转到固定支出清单二级页面；
8.成本合计(元)列：显示该合同的总成本（人员成本+差旅成本+固定支出成本），数值加粗显示，格式和排序功能与其他成本列相同。
表格数据展示：
表格主体区域显示10条合同成本记录，每行展示一个合同的完整成本信息。所有金额数值均采用千分位分隔符格式化，保留两位小数，便于阅读。
成本数据点击跳转：
成本列表表格中的三个成本金额列（人员成本、差旅成本、固定支出成本）均设计为可点击的交互元素，用户点击后可跳转到对应的成本明细二级页面。
点击交互设计：
三个成本金额列中的数值均显示为蓝色文字，带有下划线样式，鼠标悬停时光标变为手型，提示用户该数值可点击。
跳转行为：
点击"人员成本"列中的金额数字后，系统打开"人员成本清单页"弹窗，展示该合同编号下所有监理人员的工时明细和个人成本计算结果；
点击"差旅成本"列中的金额数字后，系统打开"差旅成本清单页"弹窗，展示该合同编号下所有出差单的差旅报销明细和成本分摊情况；
点击"固定支出成本"列中的金额数字后，系统打开"固定成本支出清单页"弹窗，展示该合同编号下所有固定支出项目的费用明细和录入记录。
弹窗标题：
每个二级页面弹窗的标题格式为"[成本类型]清单 - [合同编号]"，例如"人员成本清单 - CI-2026-001"，方便用户识别当前查看的是哪个合同的哪类成本明细。
分页功能：
成本列表表格下方配置了完整的分页组件，采用三区域横向布局设计。
左侧区域：
显示统计信息和每页条数选择器。统计信息文字格式为"共 X 条记录"，其中数字加粗显示。紧邻右侧是每页显示条数的下拉选择框，提供三个选项：10条/页、20条/页、50条/页，用户可根据需要选择每页显示的数据条数。
中间区域：
翻页按钮组，从左到右依次为：上一页按钮（灰色边框，当前为第1页时禁用显示为灰色不可点击状态）、页码数字按钮（当前页码按钮显示为蓝色背景高亮，其他页码按钮为白色背景）、下一页按钮（灰色边框，当前为最后一页时禁用）。页码按钮最多显示5个连续页码，超出时使用省略号表示。
右侧区域：
快速跳转输入框，文字提示"前往"，后接一个数字输入框（宽度40px，文字居中显示，默认值为当前页码），最后是文字"页"。用户可在输入框中直接输入目标页码，按回车键后快速跳转到指定页面。
交互行为：
用户点击页码按钮或上一页/下一页按钮后，表格数据立即刷新显示对应页的数据，当前页码按钮高亮显示。修改每页显示条数后，系统自动重新计算总页数并刷新表格数据，页码自动回到第1页。</t>
    </r>
  </si>
  <si>
    <r>
      <rPr>
        <sz val="11"/>
        <color theme="1"/>
        <rFont val="宋体"/>
        <charset val="134"/>
        <scheme val="minor"/>
      </rPr>
      <t xml:space="preserve">9.3 动态成本管理 - 成本二级页面
点击表格中的"人员成本"、"差旅成本"、"固定支出成本"字段可跳入对应二级页面。
（一）人员成本清单页
用户在一级页面点击某个合同的"人员成本"列中的金额数字后，系统打开人员成本清单弹窗。弹窗标题格式为"人员成本清单 - [合同编号]"，例如"人员成本清单 - CI-2026-001"。
筛选条件区域：
筛选面板使用浅灰色背景，包含两个筛选条件横向排列：
- 姓名：文本输入框，支持输入监理人员姓名进行模糊搜索；
- 日期范围：由"开始日期"和"结束日期"两个日期选择器组成，中间以波浪线"~"连接，用于筛选指定时间段内的工时记录。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筛选面板下方、表格上方有一个导出按钮（绿色实心，带📥图标），点击后弹出导出选项弹窗。
导出选项弹窗：
点击导出按钮后，系统在当前人员成本清单弹窗之上打开第三级导出选项弹窗（模态对话框层叠）。导出弹窗标题为"导出人员成本明细"。
弹窗内容包含以下选项：
导出范围选择：
- 单选按钮组，提供两个选项：
 - 导出当前筛选结果全部数据（默认选中）
 - 导出当前勾选的记录（需在表格中勾选复选框）
导出字段说明：
- 导出Excel文件包含字段：序号、姓名、工时、个人成本(元)
弹窗底部按钮：
- 取消按钮（灰色边框）：关闭导出弹窗，不执行导出
- 确定导出按钮（蓝色实心）：根据选择的选项生成Excel文件并下载，文件名格式为"人员成本明细[合同编号]YYYYMMDD_HHmmss.xlsx"
表格结构：
表格采用标准数据表格样式，带边框和斑马纹行背景。表格列从左到右依次为：
- 复选框列：每行前有复选框，用户可勾选多条记录用于选择性导出；
- 序号列（#）：显示行号，从1开始递增；
- 姓名列：显示监理人员的姓名；
- 工时列：显示该人员在当前合同下的累计工时天数，数值右对齐显示；
- 个人成本(元)列：显示该人员在当前合同下的成本总额，数值右对齐显示，保留两位小数，使用千分位分隔符格式化（如12,300.50）。
成本计算规则说明：
列表以监理人员为维度展示数据。若某监理人员同时在多个派单下工作，其在本合同下的成本按派单数平均分摊计算。具体计算公式为：该监理在本合同下的成本 = 其日薪基数 ÷ 当日总挂派单数，计算结果保留2位小数。
多派单日成本平均分摊计算示例：
假设监理人员张三的日薪基数为600元/天，在2026年3月某日同时在3个派单下工作（派单A、派单B、派单C），其中派单A属于合同CI-2026-001。
计算步骤：
1. 当日总挂派单数 = 3个
2. 当日分摊到每个派单的成本 = 600元 ÷ 3 = 200.00元
3. 派单A（属于CI-2026-001）当日成本 = 200.00元
4. 如果张三在CI-2026-001合同下工作了10天，且每天都同时在3个派单下工作，则：
 - 张三在CI-2026-001合同下的总成本 = 200.00元/天 × 10天 = 2,000.00元
 - 表格中显示：姓名=张三，工时=10，个人成本(元)=2,000.00
需要注意的是，产值计算不做平均分摊，只有成本做平均分摊。
工资数据安全处理：
人员薪资数据在系统中完全密文存储，前端任何界面（包括本页面）均不展示明文工资数字。用户无法通过点击、鼠标悬停或任何其他操作查看人员的实际工资单价。系统仅对外呈现"个人成本"（工时×单价的计算结果值），不暴露单价本身。
分页组件：
表格下方配置了分页组件，左侧显示总记录数，中间为翻页按钮（上一页、页码、下一页），右侧为跳转到指定页码输入框。
弹窗底部按钮：
弹窗底部有一个"关闭"按钮，点击后关闭当前弹窗，返回到动态成本核算主页。
</t>
    </r>
    <r>
      <rPr>
        <sz val="11"/>
        <color rgb="FFC00000"/>
        <rFont val="宋体"/>
        <charset val="134"/>
        <scheme val="minor"/>
      </rPr>
      <t>导入按钮：增加技术服务成本导入按钮，可以对当前合同的技术服务成本结果数据进行导入，</t>
    </r>
    <r>
      <rPr>
        <sz val="11"/>
        <color theme="1"/>
        <rFont val="宋体"/>
        <charset val="134"/>
        <scheme val="minor"/>
      </rPr>
      <t xml:space="preserve">
（二）差旅成本清单页
用户在一级页面点击某个合同的"差旅成本"列中的金额数字后，系统打开差旅成本清单弹窗。弹窗标题格式为"差旅成本清单 - [合同编号]"，例如"差旅成本清单 - CI-2026-001"。
筛选条件区域：
筛选面板使用浅灰色背景，包含三个筛选条件横向排列：
- 姓名：文本输入框，支持输入出差人员姓名进行模糊搜索；
- 日期范围：由"开始日期"和"结束日期"两个日期选择器组成，中间以波浪线"~"连接，用于筛选指定时间段内的出差记录；
- 出差单编号：文本输入框，支持输入出差单编号进行精确或模糊搜索。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筛选面板下方、表格上方有一个导出按钮（绿色实心，带📥图标），点击后可将当前筛选结果的差旅成本数据导出为Excel文件。
表格结构：
表格采用标准数据表格样式，带边框和斑马纹行背景。表格列从左到右依次为：
- 序号列（#）：显示行号，从1开始递增；
- 姓名列：显示出差人员的姓名；
- 出差单编号列：显示该出差单的唯一编号；
- 出差天数列：显示该出差单的总出差天数，数值右对齐显示；
- 分摊天数列：显示该出差单在当前合同下分摊的天数，数值右对齐显示；
- 差旅成本(元)列：显示该出差单在当前合同下分摊的差旅成本金额，数值右对齐显示，保留两位小数，使用千分位分隔符格式化（如2,400.00）；
- 操作列：包含"调整"按钮。
数据展示说明：
列表以出差单为维度展示数据，一个出差单对应一条记录。每条记录展示该出差单在当前选中合同编号下的差旅成本分摊情况。
操作列"调整"按钮：
点击某条出差记录的"调整"按钮后，系统打开差旅成本调整弹窗。
差旅成本调整弹窗内容：
弹窗标题显示为"差旅成本调整 - [出差单编号]"，例如"差旅成本调整 - CC-20260201-001"。
弹窗顶部显示该出差单的基本信息：出差人员姓名、出差总天数、差旅总金额（只读展示，不可修改）。
弹窗中部显示该出差单关联的所有合同编号列表，采用表格形式展示，表格列包含：
- 合同编号：显示CI编号；
- 分摊天数：数字输入框，用户可手动修改该合同占据的出差天数；
- 分摊金额(元)：数字输入框，用户可手动修改该合同分摊的差旅成本金额。
调整方式说明：
弹窗中提供两种调整方式的说明文字：
按天调整：系统将差旅总金额除以出差总天数，得到每天的平均成本。用户修改各合同的"分摊天数"输入框中的数值，系统自动计算该合同应分摊的金额（分摊天数 × 每天平均成本），并实时更新"分摊金额"列的数值。
按金额调整：系统将差旅总金额除以关联合同数量，得到每个合同的平均分摊金额，作为初始值填入"分摊金额"输入框。用户可直接修改各合同的"分摊金额"输入框中的数值，手动分配差旅成本。
权限控制：
系统根据当前登录用户的角色，控制调整权限：
- 财务角色：可以同时修改"分摊天数"和"分摊金额"两列，既可按天调整，也可按金额调整；
- 出差人员本人：只能修改"分摊天数"列，"分摊金额"列为只读状态，只能按天数调整，不能直接修改金额。
弹窗底部按钮：
弹窗底部有两个按钮：
- 取消按钮（灰色边框）：点击后关闭弹窗，不保存任何修改；
- 确定按钮（蓝色实心）：点击后保存调整结果，系统重新计算各合同的差旅成本分摊金额，关闭弹窗并刷新差旅成本清单页的数据。
分页组件：
差旅成本清单表格下方配置了分页组件，左侧显示总记录数，中间为翻页按钮（上一页、页码、下一页），右侧为跳转到指定页码输入框。
弹窗底部按钮：
差旅成本清单弹窗底部有一个"关闭"按钮，点击后关闭当前弹窗，返回到动态成本核算主页。
（三）固定成本支出清单页
用户在一级页面点击某个合同的"固定支出成本"列中的金额数字后，系统打开固定成本支出清单弹窗。弹窗标题格式为"固定成本支出清单 - [合同编号]"，例如"固定成本支出清单 - CI-2026-001"。
筛选条件区域：
筛选面板使用浅灰色背景，包含一个筛选条件：
- 成本类型：下拉选择框，选项从系统字典配置中获取，支持后台管理员新增、编辑或删除成本类型选项。
筛选区域右侧有两个操作按钮：
- 查询按钮（蓝色实心）：点击后根据筛选条件过滤下方列表数据；
- 重置按钮（灰色边框）：点击后清空所有筛选条件并恢复默认列表。
表头区域按钮：
筛选面板下方、表格上方有两个按钮：
- 导出按钮（绿色实心，带📥图标）：点击后可将当前筛选结果的固定成本数据导出为Excel文件；
- 新增按钮（蓝色实心，带➕图标）：点击后打开固定成本填报弹窗，用于录入新的固定成本记录。
表格结构：
表格采用标准数据表格样式，带边框和斑马纹行背景。表格列从左到右依次为：
- 序号列（#）：显示行号，从1开始递增；
- 成本类型列：显示该固定成本项目的类型分类（如"服务人员成本"、"资料费用"、"其他采购费用"等），类型选项来自系统字典配置；
- 服务人员成本(元)列：显示该项目中服务人员成本的金额，数值右对齐显示，保留两位小数，使用千分位分隔符格式化；
- 资料费用(元)列：显示该项目中资料费用的金额，格式同上；
- 其他采购费用(元)列：显示该项目中其他采购费用的金额，格式同上；
- 金额(元)列：显示该固定成本项目的总金额（服务人员成本+资料费用+其他采购费用），数值加粗显示，格式同上；
- 产生日期列：显示该固定成本项目的产生日期；
- 录入人员列：显示录入该条记录的人员姓名。
固定成本填报弹窗：
用户点击表头区域的"新增"按钮后，系统打开固定成本填报弹窗。弹窗标题显示为"固定成本填报"。
弹窗内容区域包含以下输入字段：
- 成本类型：下拉选择框（必填），选项从系统字典配置中获取，用户选择该固定成本项目所属的类型分类；
- 服务人员成本(元)：数字输入框（必填），用户输入服务人员成本金额，支持小数点后两位；
- 资料费用(元)：数字输入框（必填），用户输入资料费用金额，支持小数点后两位；
- 其他采购费用(元)：数字输入框（必填），用户输入其他采购费用金额，支持小数点后两位；
- 金额(元)：只读显示字段，系统自动计算并显示总金额（服务人员成本+资料费用+其他采购费用），用户无法手动修改；
- 产生日期：日期选择器（必填），用户选择该固定成本项目的产生日期；
- 备注：多行文本输入框（选填），用户可填写该固定成本项目的相关说明。
弹窗底部有三个按钮：
- 取消按钮（灰色边框）：点击后关闭弹窗，不保存任何数据，不进行必填字段校验；
- 保存按钮（灰色边框）：点击后暂存数据，不进行必填字段校验，数据不生效，用户可稍后继续编辑；
- 提交按钮（蓝色实心）：点击后进行必填字段校验，校验通过则保存数据并生效，关闭弹窗并刷新固定成本清单列表。
分页组件：
固定成本清单表格下方配置了分页组件，左侧显示总记录数，中间为翻页按钮（上一页、页码、下一页），右侧为跳转到指定页码输入框。
弹窗底部按钮：
固定成本清单弹窗底部有一个"关闭"按钮，点击后关闭当前弹窗，返回到动态成本核算主页。</t>
    </r>
  </si>
  <si>
    <t>9.4 差旅报销管理 - 支持角色
项目总监：查看当前用户监管项目的相关合同号产生的差旅成本
项目经理：查看当前用户有权限的合同号(CI编号)相关的差旅成本
财务、领导层、管理员：查看所有差旅报销数据
每个人都有权限导入自己的数据（按钮级别的功能权限分配，关联角色，后期由管理员调整）。
差旅成本金额调整权限：财务和本人可调整，本人只能按照天数调整。</t>
  </si>
  <si>
    <r>
      <rPr>
        <sz val="11"/>
        <color theme="1"/>
        <rFont val="宋体"/>
        <charset val="134"/>
        <scheme val="minor"/>
      </rPr>
      <t xml:space="preserve">9.5 差旅报销管理 - 页面设计(已整合共享中心给出的表格)
筛选条件：出差单编号、姓名
筛选区域按钮：查询、重置
表头区域按钮：导入（支持 Excel ，导入后自动落库与合同关联计算）
表格字段：姓名、出差单编号、出差天数、分摊天数、差旅成本
操作栏按钮：调整（弹窗，同差旅成本清单页的调整规则，支持"按天调整"和"按金额调整"两种方式）
说明（已确认）：导入后支持内联编辑（直接在列表中修改），同时保留弹窗调整入口，确保数据可控。差旅报销数据字段需要更加详细，具体字段在执行过程中可进一步补充。
</t>
    </r>
    <r>
      <rPr>
        <sz val="11"/>
        <color theme="9" tint="-0.25"/>
        <rFont val="宋体"/>
        <charset val="134"/>
        <scheme val="minor"/>
      </rPr>
      <t>(导入数据时，excel模板中提供用户ID相关字段，用于关联报销单与平台用户信息；提供WBS字段用于关联平台合同信息)</t>
    </r>
  </si>
  <si>
    <t>9.6 人员工资管理
支持角色：财务、人事
表头区域按钮：导入（支持 Excel 批量导入，导入模板待提供）
表格字段：账号、姓名、电话、部门、性别、工资
筛选条件：姓名
筛选区域按钮：查询、重置
表格操作栏按钮：导入（支持单条和多条导入）。
o导入时，若人员工资与已有记录不符，则记录已有数据为历史工资。
工资脱敏（已确认-最终结论）：工资字段在数据库中必须密文存储，在系统所有界面（包括列表、弹窗、导出等）中统一显示为"****"，彻底禁止任何点击或悬停操作来查看明文工资。此数据仅后台计算用，对人不可见。</t>
  </si>
  <si>
    <t>10. 利润管理</t>
  </si>
  <si>
    <t>10.1 支持角色
项目总监：查看当前用户监管项目相关的利润数据
项目经理：查看当前用户有权限的合同号(CI编号)相关的利润数据
财务、领导层、管理员：查看所有合同的利润数据</t>
  </si>
  <si>
    <t>10.2 表格字段
合同编号、合同名称、项目经理、委托方、制造方、总产值、总成本、利润。
利润预警颜色标识（已确认，支持字典配置阈值）：
o绿色：利润率高于配置阈值（运营正常）
o橙色：利润率处于0% ~ 配置危险线（如≤3%，岌岌可危，需关注）
o红色：利润率 ≤ 0%（亏损，需立即处理）
o颜色阈值的百分比数值全部设置为系统管理员可配置项，不硬编码。</t>
  </si>
  <si>
    <t>10.3 查询时筛选条件
合同编号、合同名称、项目经理、委托方、制造方、时间范围，支持筛选条件自定义（关联查询）。
筛选区域按钮：查询、高级查询、重置</t>
  </si>
  <si>
    <t>10.4 表头区域按钮
支持导出（格式支持 Excel ，导出模板待提供）</t>
  </si>
  <si>
    <t>10.5 表格操作栏按钮
报表分析：点击可跳转当前利润信息的报表分析页面，查看对应的可视化图表。</t>
  </si>
  <si>
    <t>10.6 消息提醒（已确认）
触发时机：当合同利润率触碰字典配置的预警线时（如进入橙色区），即立即触发预警通知，无需等到出现负利润才通知。
通知内容：通知包含该合同从签约到当前成本的完整关键数字（合同金额、总产值、总成本、利润率等），方便接收人快速判断哪个计算环节导致了预警。
通知对象：对应合同下负责人、项目经理、管理层及财务人员（站内消息PC同步，并额外以邮件方式发送）。
持续提醒：在预警状态未解除前，按照字典配置的提醒周期持续发送通知（非一次性），时间间隔可配置。
用户屏蔽选项：用户可对已知的预警邮件/通知设置屏蔽，但后台通知记录仍然保留。</t>
  </si>
  <si>
    <t>10.7 利润分析（报表分析页）
页面结构（已确认）：页面上半部分为利润列表，下半部分内嵌图表展示区，同步联动。同时提供独立的全局宏观图表页（为领导层提供全公司合同利润总体走势及对比）。
展示内容：按照用户的筛选条件展示图表（折线图、柱状图，用户可切换）。
筛选条件：合同编号、合同名称、项目经理、委托方、制造方、时间范围等，支持筛选条件自定义，支持多选多图叠加对比。
图表设计要点：单合同可下钻看走势，同时支持全局多合同综合鸟瞰视图，两种模式并存。
筛选区域按钮：查询、高级查询、重置</t>
  </si>
  <si>
    <t>11. 经营数据量化</t>
  </si>
  <si>
    <t>11.1 监理人员报表 - 支持角色
项目总监：查看当前用户监管项目下辅助人员相关的数据
项目经理：查看当前用户有权限的合同号(CI编号)相关辅助人员的数据
总监代表：查看当前用户监管的派单相关辅助人员的数据
领导层、管理员：查看所有辅助人员的数据
说明（已确认）：辅助人员（监理人员本身）无法独立登录此系统，本系统仅面向领导层、各层管理人员及财务查看，与实际干活的人无关。</t>
  </si>
  <si>
    <r>
      <rPr>
        <sz val="11"/>
        <color theme="1"/>
        <rFont val="宋体"/>
        <charset val="134"/>
        <scheme val="minor"/>
      </rPr>
      <t>11.2 监理人员报表内容
以辅助人员为维度做报表数据量化,</t>
    </r>
    <r>
      <rPr>
        <sz val="11"/>
        <color theme="9" tint="-0.25"/>
        <rFont val="宋体"/>
        <charset val="134"/>
        <scheme val="minor"/>
      </rPr>
      <t>默认按监理人员统计全周期产值、成本、利润等数据，增加时间范围选择，可按时间范围进行数据统计。</t>
    </r>
    <r>
      <rPr>
        <sz val="11"/>
        <color theme="1"/>
        <rFont val="宋体"/>
        <charset val="134"/>
        <scheme val="minor"/>
      </rPr>
      <t xml:space="preserve">
生成每个辅助人员的产值、成本、利润等数据的报表。
系统自动生成监理人员报表，支持按年或按时间段查询辅助人员的产值和成本，并生成报表。
提供监理人员报表自定义功能（已确认）：支持选择展示哪些列/字段，以及选择报表类型（折线图 / 柱状图，默认只提供这两种）；不允许修改计算公式，不允许拖拽布局。</t>
    </r>
  </si>
  <si>
    <t>11.3 合同报表 - 支持角色
项目总监：查看当前用户监管项目相关合同的数据
项目经理：查看当前用户有权限的合同号(CI编号)相关的数据
总监代表：查看当前用户监管的派单相关合同的数据
领导层、管理员：查看所有合同数据</t>
  </si>
  <si>
    <r>
      <rPr>
        <sz val="11"/>
        <color theme="1"/>
        <rFont val="宋体"/>
        <charset val="134"/>
        <scheme val="minor"/>
      </rPr>
      <t>11.4 合同报表内容
以合同编号为维度做报表数据量化，</t>
    </r>
    <r>
      <rPr>
        <sz val="11"/>
        <color theme="9" tint="-0.25"/>
        <rFont val="宋体"/>
        <charset val="134"/>
        <scheme val="minor"/>
      </rPr>
      <t>默认按合同统计全周期产值、成本、利润等数据，增加时间范围选择，可按时间范围进行数据统计。</t>
    </r>
    <r>
      <rPr>
        <sz val="11"/>
        <color theme="1"/>
        <rFont val="宋体"/>
        <charset val="134"/>
        <scheme val="minor"/>
      </rPr>
      <t xml:space="preserve">
生成每个合同的产值、成本、利润、开票、回款等数据的报表。
系统自动生成合同报表，支持按合同类型、时间段导出报表（格式支持 Excel 或 Word，用户自选；支持自定义筛选条件）。
提供合同报表自定义功能：支持选择展示哪些列/字段，以及选择报表图表类型（折线图/柱状图）。
导出数量默认为当前筛选查询后的全部数据，可提供给用户选择导出条数及正序/倒序。</t>
    </r>
  </si>
  <si>
    <t>12. 项目经理权限分配</t>
  </si>
  <si>
    <t>12.1 合同权限分配（2026.03.09会议确认新增规则）
默认机制（PECMS主干道同步）：基于前端 PECMS 传过来的 上级单位ERP唯一标识，系统底层与 O&amp;M 用户表进行强制账号绑定。只要该项目经理在合同台账中被指派了该合同，系统自动默认赋予该账号对该合同的全部操作/查看权限，无需管理员逐一手动分配。
全局合同大表模式（合同中心制）：摒弃老旧的“先选人，后查合同”分栏体系，升级为以“合同单体”为维度的全局权限干预大屏。
o全景检索：支持组合 监理编号、合同名称、委托方、制造方、合同类型、项目状态 进行过滤。特别支持通过检索 项目经理(默认) 和 授权项目经理 反查其名下合同。
o基础信息穿透：列表需完整展示客商信息及核心的“监造金额(元)”、“项目状态”，辅助管理员的特批决策判断。
o操作授权与急停（应急车道）：
多权并存（穿梭窗特批）：专门针对“授权项目经理名单 (手工追加)”打造双栏可视穿梭窗。管理员可将其他员工随时批量拉入特批协作池中，保障业务借调流转。
剥离特权（一键急停）：对于法定携带过来的“项目经理(默认)”，可通过表格直观展示其绑定状态，并且支持在突发情况下绕过 PECMS 的固有绑定，执行物理层面的「一键急停」隔离操作。
视觉标签防呆：列表明示每一种权力的根源。法定主责人带有 🔒（系统底座来源）；手工追加的协力人员带有可快捷撤销的胶囊标签 [姓名 ✖]；若 PECMS 漏传人员或传错，则以醒目的红字 (未绑定) ⚠️ 作为风险报警。</t>
  </si>
  <si>
    <t>1.上级ERP唯一标识和OM的用户关联关系是什么
2.一键急停后，默认的项目经理无法查看合同所有数据？</t>
  </si>
  <si>
    <t>13. 全局功能规范</t>
  </si>
  <si>
    <r>
      <rPr>
        <sz val="11"/>
        <color theme="1"/>
        <rFont val="宋体"/>
        <charset val="134"/>
        <scheme val="minor"/>
      </rPr>
      <t xml:space="preserve">导出：
格式：支持 Excel(.xlsx) 。
列选择：默认按当前筛选条件下的列表字段导出，同时提供列勾选界面，用户可手动调整要导出的列（默认全选，可取消勾选）。
数量：默认导出当前筛选查询后的全部数据，可提供给用户选择按正序/倒序导出指定条数。
</t>
    </r>
    <r>
      <rPr>
        <sz val="11"/>
        <color theme="9" tint="-0.25"/>
        <rFont val="宋体"/>
        <charset val="134"/>
        <scheme val="minor"/>
      </rPr>
      <t>增加：可导出行数量、选中输出列数量、列全选按钮、列一键清空按钮</t>
    </r>
  </si>
  <si>
    <t>列设置：表格提供标准列设置功能，用户可自定义勾选需要展示的列，取消勾选则表格中不展示对应列。</t>
  </si>
  <si>
    <t>14. 科研经营月报</t>
  </si>
  <si>
    <t>14.1 支持角色
财务、管理员、领导层：可访问此菜单的角色，其他角色无此菜单入口
首次进入页面，需要选择时间区间，点击【加载月报】按钮</t>
  </si>
  <si>
    <r>
      <rPr>
        <sz val="11"/>
        <color theme="1"/>
        <rFont val="宋体"/>
        <charset val="134"/>
        <scheme val="minor"/>
      </rPr>
      <t xml:space="preserve">14.2 页面交互规则（三步走）
第一步：时间区间筛选
页面默认为空，展示时间区间筛选器（起始日期 ~ 结束日期）
用户选定时间范围后，点击查询按钮，数据才开始加载显示
第二步：多维查询条件
数据加载显示后，提供以下查询条件供筛选：
o委托方、项目经理、合同类型（开口合同/总价合同）等
o支持组合查询，查询后列表实时刷新
第三步：数据抓取规则
① 上层数据（总价合同）：
以合同台账为主表
筛选条件：合同起止日期范围覆盖所选时间区间内的总价合同
关联抓取：该合同对应的开票明细数据
显示在列表上半部分
② 下层数据（开口合同）：
以开票明细为主表
筛选条件：开票时间属于所选时间区间内、且合同类型为开口合同的开票记录
关联抓取：对应的合同台账 + 项目收入台账数据
显示在列表下半部分
③ 两类数据在同一台账页面上下合并展示，明显区分上层（总价合同类）和下层（开口合同类）
</t>
    </r>
    <r>
      <rPr>
        <sz val="11"/>
        <color theme="9" tint="-0.25"/>
        <rFont val="宋体"/>
        <charset val="134"/>
        <scheme val="minor"/>
      </rPr>
      <t>14.3付款约定-预付款、进度款、提货款、验收款、款到发货、质保金列默认为空，提供编辑、批量编辑按钮供用户进行数据填报。点击编辑按钮，可对当前行的数据进行编辑；点击批量编辑按钮可对当前表格中当前页的所有数据进行填报。记录每次填报历史情况，方便后续追溯。</t>
    </r>
  </si>
  <si>
    <r>
      <rPr>
        <sz val="11"/>
        <color theme="1"/>
        <rFont val="宋体"/>
        <charset val="134"/>
        <scheme val="minor"/>
      </rPr>
      <t>14.3 列表字段（参照三方月报Excel，共22列）
序号 字段名 说明
1 序号 自动排序号
2 合同编号 对应合同的CI编号
3 合同标的物 合同名称/标的描述
4 负责人 项目经理姓名
5 委托方 合同甲方名称
6 合同起始日期 合同开始时间
7 合同终止日期 合同结束时间
8 合同额（元） 合同签约金额
9 成本-材料费 成本构成：材料费</t>
    </r>
    <r>
      <rPr>
        <sz val="11"/>
        <color theme="9" tint="-0.25"/>
        <rFont val="宋体"/>
        <charset val="134"/>
        <scheme val="minor"/>
      </rPr>
      <t>(无数据，仅占位)</t>
    </r>
    <r>
      <rPr>
        <sz val="11"/>
        <color theme="1"/>
        <rFont val="宋体"/>
        <charset val="134"/>
        <scheme val="minor"/>
      </rPr>
      <t xml:space="preserve">
10 成本-人工费 成本构成：人工费</t>
    </r>
    <r>
      <rPr>
        <sz val="11"/>
        <color theme="9" tint="-0.25"/>
        <rFont val="宋体"/>
        <charset val="134"/>
        <scheme val="minor"/>
      </rPr>
      <t>(计算正式员工、劳务派遣、技术服务的所有人员成本。正式员工与劳务派遣按综合管理平台打卡与O&amp;M平台中工资计算成本，技术服务按pecms中供应商每月填报的工时与人员费用计算)</t>
    </r>
    <r>
      <rPr>
        <sz val="11"/>
        <color theme="1"/>
        <rFont val="宋体"/>
        <charset val="134"/>
        <scheme val="minor"/>
      </rPr>
      <t xml:space="preserve">
11 成本-制造费 成本构成：制造费</t>
    </r>
    <r>
      <rPr>
        <sz val="11"/>
        <color theme="9" tint="-0.25"/>
        <rFont val="宋体"/>
        <charset val="134"/>
        <scheme val="minor"/>
      </rPr>
      <t>(无数据，仅占位)</t>
    </r>
    <r>
      <rPr>
        <sz val="11"/>
        <color theme="1"/>
        <rFont val="宋体"/>
        <charset val="134"/>
        <scheme val="minor"/>
      </rPr>
      <t xml:space="preserve">
12 成本小计 材料费+人工费+制造费
13 毛利金额 合同额 - 成本小计
14 毛利率% 毛利金额 / 合同额 × 100%
15 付款约定-预付款% 合同约定预付款比例
16 付款约定-进度款% 合同约定进度款比例
17 付款约定-提货款% 合同约定提货款比例
18 付款约定-验收款% 合同约定验收款比例
19 款到发货 是否款到发货标记
20 质保金 质保金金额或比例
21 合同交货期 约定交货/完工日期
22 备注 补充说明</t>
    </r>
  </si>
  <si>
    <t>14.4 页面顶部汇总行
参照月报Excel格式，在列表上方展示本次筛选时间区间的汇总指标：
本期合同额合计（元）
年初至本月累计合同额（元）
本期销售回款合计（元）
年初至本月累计回款（元）</t>
  </si>
  <si>
    <t>系统架构设计</t>
  </si>
  <si>
    <t>1.系统定位与边界
平台定性：本平台后续简称(O&amp;M)与 PECMS 平台为两套独立系统，互不共库。
技术框架：基于 RuoYi-Vue-Pro 前后端分离框架（含其内置可视化 BPMN 审批流引擎），建立独立的业务数据库。
用户与权限同步：
oO&amp;M 系统自身维护一套用户、角色与组织架构表。
o用户在 PECMS 完成登录后，由 PECMS 签发 token（有效期与 PECMS 登录保持一致），携带 token 访问 O&amp;M 系统，O&amp;M 服务对 token 进行鉴权后放行。O&amp;M 无独立登录入口，仅配合 PECMS 使用。
o当 PECMS 执行用户、角色、组织架构的增删改时，通过 API 接口调用方式，将变更数据同步写入 O&amp;M 对应的数据库表中，确保两端保持一致。
反向限制：O&amp;M 侧产生的数据（收入纠正记录、审批流历史、差旅工资等）绝对不会影响或写回 PECMS。</t>
  </si>
  <si>
    <t>2.数据隔离与同步机制
O&amp;M 自建业务库：包含合同表、派单表（简版）、人员工时表、收入表、成本表、各类明细流水及调整记录表。
核心数据来源于 PECMS 和 综合管理 推送，策略如下：
o基础台账（合同基础信息、项目组人员名单等）：每天定时拉取（全量+增量），或在 PECMS 新增合同时通过 API 主动推送给 O&amp;M。
o动态执行数据（打卡记录、派单状态变更）：采用 Binlog 变更数据捕获工具（如阿里 Canal、Debezium 或开源 MQ），PECMS 中有数据变动时，O&amp;M 监听消息并实时写入自己的库，不耗费 PECMS 的直接性能。
只读原则：由 PECMS 和 综合管理 产生的数据（打卡时间、计划开始/结束时间、派单基础信息），在 O&amp;M 系统中绝对只读，不支持从 O&amp;M 端逆向修改。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</si>
</sst>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b/>
      <sz val="20"/>
      <color theme="1"/>
      <name val="宋体"/>
      <charset val="134"/>
      <scheme val="minor"/>
    </font>
    <font>
      <b/>
      <sz val="11"/>
      <color theme="1"/>
      <name val="宋体"/>
      <charset val="134"/>
      <scheme val="minor"/>
    </font>
    <font>
      <sz val="11"/>
      <color theme="9" tint="-0.25"/>
      <name val="宋体"/>
      <charset val="134"/>
      <scheme val="minor"/>
    </font>
    <font>
      <strike/>
      <sz val="11"/>
      <color theme="9" tint="-0.25"/>
      <name val="宋体"/>
      <charset val="134"/>
      <scheme val="minor"/>
    </font>
    <font>
      <sz val="11"/>
      <color rgb="FFC00000"/>
      <name val="宋体"/>
      <charset val="134"/>
      <scheme val="minor"/>
    </font>
    <font>
      <b/>
      <sz val="26"/>
      <color theme="1"/>
      <name val="宋体"/>
      <charset val="134"/>
      <scheme val="minor"/>
    </font>
    <font>
      <b/>
      <sz val="16"/>
      <color theme="1"/>
      <name val="宋体"/>
      <charset val="134"/>
      <scheme val="minor"/>
    </font>
    <font>
      <sz val="11"/>
      <color rgb="FFFF0000"/>
      <name val="宋体"/>
      <charset val="134"/>
      <scheme val="minor"/>
    </font>
    <font>
      <b/>
      <sz val="22"/>
      <color theme="1"/>
      <name val="宋体"/>
      <charset val="134"/>
      <scheme val="minor"/>
    </font>
    <font>
      <b/>
      <sz val="24"/>
      <color theme="1"/>
      <name val="宋体"/>
      <charset val="134"/>
      <scheme val="minor"/>
    </font>
    <font>
      <b/>
      <sz val="18"/>
      <color theme="1"/>
      <name val="宋体"/>
      <charset val="134"/>
      <scheme val="minor"/>
    </font>
    <font>
      <strike/>
      <sz val="11"/>
      <color theme="1"/>
      <name val="宋体"/>
      <charset val="134"/>
      <scheme val="minor"/>
    </font>
    <font>
      <b/>
      <sz val="12"/>
      <color theme="1"/>
      <name val="宋体"/>
      <charset val="134"/>
      <scheme val="minor"/>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trike/>
      <sz val="11"/>
      <color rgb="FFFF0000"/>
      <name val="宋体"/>
      <charset val="134"/>
      <scheme val="minor"/>
    </font>
    <font>
      <sz val="11"/>
      <name val="宋体"/>
      <charset val="134"/>
      <scheme val="minor"/>
    </font>
  </fonts>
  <fills count="3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16"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7" applyNumberFormat="0" applyFill="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2" fillId="0" borderId="0" applyNumberFormat="0" applyFill="0" applyBorder="0" applyAlignment="0" applyProtection="0">
      <alignment vertical="center"/>
    </xf>
    <xf numFmtId="0" fontId="23" fillId="6" borderId="19" applyNumberFormat="0" applyAlignment="0" applyProtection="0">
      <alignment vertical="center"/>
    </xf>
    <xf numFmtId="0" fontId="24" fillId="7" borderId="20" applyNumberFormat="0" applyAlignment="0" applyProtection="0">
      <alignment vertical="center"/>
    </xf>
    <xf numFmtId="0" fontId="25" fillId="7" borderId="19" applyNumberFormat="0" applyAlignment="0" applyProtection="0">
      <alignment vertical="center"/>
    </xf>
    <xf numFmtId="0" fontId="26" fillId="8" borderId="21" applyNumberFormat="0" applyAlignment="0" applyProtection="0">
      <alignment vertical="center"/>
    </xf>
    <xf numFmtId="0" fontId="27" fillId="0" borderId="22" applyNumberFormat="0" applyFill="0" applyAlignment="0" applyProtection="0">
      <alignment vertical="center"/>
    </xf>
    <xf numFmtId="0" fontId="28" fillId="0" borderId="23"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2"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cellStyleXfs>
  <cellXfs count="143">
    <xf numFmtId="0" fontId="0" fillId="0" borderId="0" xfId="0">
      <alignment vertical="center"/>
    </xf>
    <xf numFmtId="0" fontId="0" fillId="0" borderId="0" xfId="0" applyBorder="1" applyAlignment="1"/>
    <xf numFmtId="0" fontId="0" fillId="0" borderId="0" xfId="0" applyBorder="1" applyAlignment="1">
      <alignment horizontal="left" vertical="center"/>
    </xf>
    <xf numFmtId="0" fontId="0" fillId="0" borderId="0" xfId="0" applyBorder="1" applyAlignment="1">
      <alignment horizontal="left" vertical="center" wrapText="1"/>
    </xf>
    <xf numFmtId="0" fontId="0" fillId="0" borderId="0" xfId="0" applyBorder="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9" xfId="0" applyFont="1" applyFill="1" applyBorder="1" applyAlignment="1">
      <alignment horizontal="left" vertical="center" wrapText="1"/>
    </xf>
    <xf numFmtId="0" fontId="0" fillId="2" borderId="9"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2" fillId="0" borderId="9" xfId="0" applyFont="1" applyFill="1" applyBorder="1" applyAlignment="1">
      <alignment horizontal="center" vertical="center" wrapText="1"/>
    </xf>
    <xf numFmtId="0" fontId="2" fillId="0" borderId="11"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0" fillId="0" borderId="9"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0" fillId="0" borderId="9" xfId="0" applyFont="1" applyFill="1" applyBorder="1" applyAlignment="1">
      <alignment horizontal="left" vertical="center" wrapText="1"/>
    </xf>
    <xf numFmtId="0" fontId="0" fillId="0" borderId="9" xfId="0" applyFont="1" applyFill="1" applyBorder="1" applyAlignment="1">
      <alignment horizontal="right" vertical="center" wrapText="1"/>
    </xf>
    <xf numFmtId="0" fontId="4" fillId="0" borderId="11"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0" fillId="0" borderId="11" xfId="0" applyFont="1" applyFill="1" applyBorder="1" applyAlignment="1">
      <alignment horizontal="left" vertical="center" wrapText="1"/>
    </xf>
    <xf numFmtId="0" fontId="0" fillId="0" borderId="13" xfId="0" applyFont="1" applyFill="1" applyBorder="1" applyAlignment="1">
      <alignment horizontal="left" vertical="center" wrapText="1"/>
    </xf>
    <xf numFmtId="0" fontId="0" fillId="0" borderId="9" xfId="0" applyFill="1" applyBorder="1" applyAlignment="1">
      <alignment horizontal="left" vertical="center"/>
    </xf>
    <xf numFmtId="0" fontId="0" fillId="0" borderId="9" xfId="0" applyFont="1" applyBorder="1" applyAlignment="1">
      <alignment horizontal="left" vertical="center"/>
    </xf>
    <xf numFmtId="0" fontId="0" fillId="0" borderId="9" xfId="0" applyFont="1" applyBorder="1" applyAlignment="1">
      <alignment horizontal="right" vertical="center"/>
    </xf>
    <xf numFmtId="0" fontId="0" fillId="0" borderId="9" xfId="0" applyBorder="1">
      <alignment vertical="center"/>
    </xf>
    <xf numFmtId="0" fontId="0" fillId="0" borderId="9" xfId="0" applyBorder="1" applyAlignment="1">
      <alignment horizontal="center" vertical="center"/>
    </xf>
    <xf numFmtId="0" fontId="0" fillId="0" borderId="9" xfId="0" applyFont="1" applyFill="1" applyBorder="1" applyAlignment="1">
      <alignment horizontal="left" vertical="center"/>
    </xf>
    <xf numFmtId="0" fontId="0" fillId="0" borderId="9" xfId="0" applyFont="1" applyFill="1" applyBorder="1" applyAlignment="1">
      <alignment horizontal="right" vertical="center"/>
    </xf>
    <xf numFmtId="0" fontId="0" fillId="0" borderId="9" xfId="0" applyFill="1" applyBorder="1" applyAlignment="1">
      <alignment vertical="center"/>
    </xf>
    <xf numFmtId="0" fontId="0" fillId="0" borderId="9" xfId="0" applyFill="1" applyBorder="1" applyAlignment="1">
      <alignment horizontal="center" vertical="center"/>
    </xf>
    <xf numFmtId="0" fontId="3" fillId="0" borderId="15" xfId="0" applyFont="1" applyFill="1" applyBorder="1" applyAlignment="1">
      <alignment horizontal="center" vertical="center" wrapText="1"/>
    </xf>
    <xf numFmtId="0" fontId="0" fillId="0" borderId="9" xfId="0" applyFill="1" applyBorder="1" applyAlignment="1">
      <alignment horizontal="left" vertical="center" wrapText="1"/>
    </xf>
    <xf numFmtId="0" fontId="0" fillId="0" borderId="9" xfId="0" applyBorder="1" applyAlignment="1">
      <alignment horizontal="left" vertical="center" wrapText="1"/>
    </xf>
    <xf numFmtId="0" fontId="0" fillId="0" borderId="9" xfId="0" applyBorder="1" applyAlignment="1">
      <alignment horizontal="left" vertical="center"/>
    </xf>
    <xf numFmtId="0" fontId="0" fillId="0" borderId="9" xfId="0" applyFont="1" applyBorder="1" applyAlignment="1">
      <alignment horizontal="left" vertical="center" wrapText="1"/>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5" fillId="0" borderId="11" xfId="0" applyFont="1" applyBorder="1" applyAlignment="1">
      <alignment horizontal="left" vertical="center" wrapText="1"/>
    </xf>
    <xf numFmtId="0" fontId="5" fillId="0" borderId="13" xfId="0" applyFont="1" applyBorder="1" applyAlignment="1">
      <alignment horizontal="left" vertical="center" wrapText="1"/>
    </xf>
    <xf numFmtId="0" fontId="0" fillId="0" borderId="9" xfId="0" applyBorder="1" applyAlignment="1">
      <alignment horizontal="center" vertical="center" wrapText="1"/>
    </xf>
    <xf numFmtId="0" fontId="5" fillId="0" borderId="12" xfId="0" applyFont="1" applyBorder="1" applyAlignment="1">
      <alignment horizontal="left" vertical="center" wrapText="1"/>
    </xf>
    <xf numFmtId="0" fontId="5" fillId="0" borderId="9" xfId="0" applyFont="1" applyBorder="1" applyAlignment="1">
      <alignment horizontal="left" vertical="center" wrapText="1"/>
    </xf>
    <xf numFmtId="0" fontId="0" fillId="0" borderId="10" xfId="0" applyBorder="1" applyAlignment="1">
      <alignment horizontal="right" vertical="center"/>
    </xf>
    <xf numFmtId="0" fontId="0" fillId="0" borderId="10" xfId="0" applyFill="1" applyBorder="1" applyAlignment="1">
      <alignment horizontal="right" vertical="center"/>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0" fillId="0" borderId="15" xfId="0" applyBorder="1" applyAlignment="1">
      <alignment horizontal="right" vertical="center"/>
    </xf>
    <xf numFmtId="0" fontId="0" fillId="0" borderId="15" xfId="0" applyFill="1" applyBorder="1" applyAlignment="1">
      <alignment horizontal="right" vertical="center"/>
    </xf>
    <xf numFmtId="0" fontId="0" fillId="0" borderId="9" xfId="0" applyBorder="1" applyAlignment="1">
      <alignment horizontal="right"/>
    </xf>
    <xf numFmtId="0" fontId="0" fillId="0" borderId="9" xfId="0" applyBorder="1" applyAlignment="1">
      <alignment horizontal="left"/>
    </xf>
    <xf numFmtId="0" fontId="0" fillId="0" borderId="9" xfId="0" applyBorder="1" applyAlignment="1"/>
    <xf numFmtId="0" fontId="0" fillId="0" borderId="9" xfId="0" applyFont="1" applyFill="1" applyBorder="1" applyAlignment="1">
      <alignment horizontal="left"/>
    </xf>
    <xf numFmtId="0" fontId="0" fillId="0" borderId="9" xfId="0" applyFont="1" applyFill="1" applyBorder="1" applyAlignment="1"/>
    <xf numFmtId="0" fontId="0" fillId="0" borderId="9" xfId="0" applyFill="1" applyBorder="1" applyAlignment="1"/>
    <xf numFmtId="0" fontId="0" fillId="0" borderId="9" xfId="0" applyBorder="1" applyAlignment="1">
      <alignment horizontal="right" vertical="center"/>
    </xf>
    <xf numFmtId="0" fontId="0" fillId="0" borderId="9" xfId="0" applyFill="1" applyBorder="1" applyAlignment="1">
      <alignment horizontal="right" vertical="center"/>
    </xf>
    <xf numFmtId="0" fontId="0" fillId="0" borderId="0" xfId="0"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6" fillId="2" borderId="9"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9" xfId="0" applyBorder="1" applyAlignment="1">
      <alignment vertical="center" wrapText="1"/>
    </xf>
    <xf numFmtId="0" fontId="8" fillId="0" borderId="9" xfId="0" applyFont="1" applyBorder="1" applyAlignment="1">
      <alignment horizontal="left" vertical="center" wrapText="1"/>
    </xf>
    <xf numFmtId="0" fontId="0" fillId="0" borderId="11" xfId="0" applyBorder="1" applyAlignment="1">
      <alignment horizontal="right" vertical="center" wrapText="1"/>
    </xf>
    <xf numFmtId="0" fontId="0" fillId="0" borderId="12" xfId="0" applyBorder="1" applyAlignment="1">
      <alignment horizontal="right" vertical="center" wrapText="1"/>
    </xf>
    <xf numFmtId="0" fontId="0" fillId="0" borderId="13" xfId="0" applyBorder="1" applyAlignment="1">
      <alignment horizontal="right" vertical="center" wrapText="1"/>
    </xf>
    <xf numFmtId="0" fontId="0" fillId="0" borderId="11" xfId="0" applyBorder="1" applyAlignment="1">
      <alignment horizontal="right" vertical="center"/>
    </xf>
    <xf numFmtId="0" fontId="0" fillId="0" borderId="12" xfId="0" applyBorder="1" applyAlignment="1">
      <alignment horizontal="right" vertical="center"/>
    </xf>
    <xf numFmtId="0" fontId="0" fillId="0" borderId="13" xfId="0" applyBorder="1" applyAlignment="1">
      <alignment horizontal="right"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9" xfId="0" applyFont="1" applyBorder="1" applyAlignment="1">
      <alignment horizontal="center" vertical="center" wrapText="1"/>
    </xf>
    <xf numFmtId="0" fontId="3" fillId="3" borderId="1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0" fillId="0" borderId="11" xfId="0" applyBorder="1" applyAlignment="1">
      <alignment horizontal="center" vertical="center"/>
    </xf>
    <xf numFmtId="0" fontId="0" fillId="0" borderId="13" xfId="0" applyBorder="1" applyAlignment="1">
      <alignment horizontal="center" vertical="center"/>
    </xf>
    <xf numFmtId="0" fontId="5" fillId="0" borderId="9" xfId="0" applyFont="1" applyBorder="1" applyAlignment="1">
      <alignment horizontal="left" vertical="center"/>
    </xf>
    <xf numFmtId="0" fontId="10" fillId="2" borderId="9"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9" xfId="0" applyFont="1" applyFill="1" applyBorder="1" applyAlignment="1">
      <alignment horizontal="left" vertical="center" wrapText="1"/>
    </xf>
    <xf numFmtId="0" fontId="11" fillId="2" borderId="9" xfId="0" applyFont="1" applyFill="1" applyBorder="1" applyAlignment="1">
      <alignment horizontal="center" vertical="center"/>
    </xf>
    <xf numFmtId="0" fontId="11" fillId="2" borderId="9" xfId="0" applyFont="1" applyFill="1" applyBorder="1" applyAlignment="1">
      <alignment vertical="center" wrapText="1"/>
    </xf>
    <xf numFmtId="0" fontId="0" fillId="0" borderId="14" xfId="0" applyBorder="1" applyAlignment="1">
      <alignment horizontal="center" vertical="center" wrapText="1"/>
    </xf>
    <xf numFmtId="0" fontId="0" fillId="0" borderId="9" xfId="0" applyFont="1" applyBorder="1" applyAlignment="1">
      <alignmen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1" xfId="0" applyFont="1" applyBorder="1" applyAlignment="1">
      <alignment horizontal="left" vertical="center" wrapText="1"/>
    </xf>
    <xf numFmtId="0" fontId="8" fillId="0" borderId="9" xfId="0" applyFont="1" applyBorder="1" applyAlignment="1">
      <alignment vertical="center" wrapText="1"/>
    </xf>
    <xf numFmtId="0" fontId="0" fillId="3" borderId="9" xfId="0" applyFill="1" applyBorder="1">
      <alignment vertical="center"/>
    </xf>
    <xf numFmtId="0" fontId="0" fillId="3" borderId="9" xfId="0" applyFill="1" applyBorder="1" applyAlignment="1">
      <alignment horizontal="right" vertical="center"/>
    </xf>
    <xf numFmtId="0" fontId="0" fillId="0" borderId="14" xfId="0" applyBorder="1" applyAlignment="1">
      <alignment horizontal="right" vertical="center"/>
    </xf>
    <xf numFmtId="0" fontId="12" fillId="0" borderId="9" xfId="0" applyFont="1" applyBorder="1" applyAlignment="1">
      <alignment horizontal="center" vertical="center" wrapText="1"/>
    </xf>
    <xf numFmtId="0" fontId="0" fillId="0" borderId="9" xfId="0" applyFill="1" applyBorder="1" applyAlignment="1">
      <alignment horizontal="center" vertical="center" wrapText="1"/>
    </xf>
    <xf numFmtId="0" fontId="3" fillId="0" borderId="9" xfId="0" applyFont="1" applyFill="1" applyBorder="1" applyAlignment="1">
      <alignment horizontal="center" vertical="center" wrapText="1"/>
    </xf>
    <xf numFmtId="0" fontId="0" fillId="0" borderId="10"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0" fillId="0" borderId="13" xfId="0" applyFill="1" applyBorder="1" applyAlignment="1">
      <alignment horizontal="left" vertical="center" wrapText="1"/>
    </xf>
    <xf numFmtId="0" fontId="0" fillId="0" borderId="15" xfId="0" applyFill="1" applyBorder="1" applyAlignment="1">
      <alignment horizontal="center" vertical="center" wrapText="1"/>
    </xf>
    <xf numFmtId="0" fontId="0" fillId="0" borderId="9" xfId="0" applyBorder="1" applyAlignment="1">
      <alignment horizontal="right" vertical="center" wrapText="1"/>
    </xf>
    <xf numFmtId="0" fontId="0" fillId="0" borderId="0" xfId="0" applyAlignment="1">
      <alignment horizontal="center" vertical="center"/>
    </xf>
    <xf numFmtId="0" fontId="0" fillId="0" borderId="10" xfId="0" applyFill="1" applyBorder="1" applyAlignment="1">
      <alignment horizontal="center" vertical="center" wrapText="1"/>
    </xf>
    <xf numFmtId="0" fontId="0" fillId="0" borderId="9" xfId="0" applyBorder="1" applyAlignment="1">
      <alignment vertical="center"/>
    </xf>
    <xf numFmtId="0" fontId="0" fillId="0" borderId="14" xfId="0" applyFill="1" applyBorder="1" applyAlignment="1">
      <alignment horizontal="center" vertical="center" wrapText="1"/>
    </xf>
    <xf numFmtId="0" fontId="13" fillId="4" borderId="9" xfId="0" applyFont="1" applyFill="1" applyBorder="1" applyAlignment="1">
      <alignment horizontal="center" vertical="center"/>
    </xf>
    <xf numFmtId="0" fontId="2" fillId="0" borderId="9" xfId="0" applyFont="1" applyFill="1" applyBorder="1" applyAlignment="1">
      <alignment horizontal="center" vertical="center"/>
    </xf>
    <xf numFmtId="0" fontId="13" fillId="0" borderId="9" xfId="0" applyFont="1" applyFill="1" applyBorder="1" applyAlignment="1">
      <alignment horizontal="center" vertical="center"/>
    </xf>
    <xf numFmtId="0" fontId="0" fillId="0" borderId="11" xfId="0" applyFill="1" applyBorder="1" applyAlignment="1">
      <alignment horizontal="center" vertical="center"/>
    </xf>
    <xf numFmtId="0" fontId="0" fillId="0" borderId="13" xfId="0" applyFill="1" applyBorder="1" applyAlignment="1">
      <alignment horizontal="center" vertical="center"/>
    </xf>
    <xf numFmtId="0" fontId="0" fillId="0" borderId="10" xfId="0" applyFill="1" applyBorder="1" applyAlignment="1">
      <alignment horizontal="center" vertical="center"/>
    </xf>
    <xf numFmtId="0" fontId="13" fillId="0" borderId="10" xfId="0" applyFont="1" applyFill="1" applyBorder="1" applyAlignment="1">
      <alignment horizontal="center" vertical="center"/>
    </xf>
    <xf numFmtId="0" fontId="14" fillId="0" borderId="9"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137160</xdr:colOff>
      <xdr:row>7</xdr:row>
      <xdr:rowOff>134620</xdr:rowOff>
    </xdr:from>
    <xdr:to>
      <xdr:col>4</xdr:col>
      <xdr:colOff>1249680</xdr:colOff>
      <xdr:row>28</xdr:row>
      <xdr:rowOff>50165</xdr:rowOff>
    </xdr:to>
    <xdr:pic>
      <xdr:nvPicPr>
        <xdr:cNvPr id="2" name="图片 1"/>
        <xdr:cNvPicPr>
          <a:picLocks noChangeAspect="1"/>
        </xdr:cNvPicPr>
      </xdr:nvPicPr>
      <xdr:blipFill>
        <a:blip r:embed="rId1"/>
        <a:stretch>
          <a:fillRect/>
        </a:stretch>
      </xdr:blipFill>
      <xdr:spPr>
        <a:xfrm>
          <a:off x="137160" y="2357120"/>
          <a:ext cx="8694420" cy="364934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9</xdr:col>
          <xdr:colOff>57150</xdr:colOff>
          <xdr:row>5</xdr:row>
          <xdr:rowOff>3321050</xdr:rowOff>
        </xdr:from>
        <xdr:to>
          <xdr:col>9</xdr:col>
          <xdr:colOff>1941830</xdr:colOff>
          <xdr:row>5</xdr:row>
          <xdr:rowOff>3786505</xdr:rowOff>
        </xdr:to>
        <xdr:sp>
          <xdr:nvSpPr>
            <xdr:cNvPr id="1026" name="Object 2" hidden="1">
              <a:extLst>
                <a:ext uri="{63B3BB69-23CF-44E3-9099-C40C66FF867C}">
                  <a14:compatExt spid="_x0000_s1026"/>
                </a:ext>
              </a:extLst>
            </xdr:cNvPr>
            <xdr:cNvSpPr/>
          </xdr:nvSpPr>
          <xdr:spPr>
            <a:xfrm>
              <a:off x="13228955" y="4768850"/>
              <a:ext cx="1884680" cy="465455"/>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4" Type="http://schemas.openxmlformats.org/officeDocument/2006/relationships/image" Target="../media/image2.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zoomScale="85" zoomScaleNormal="85" workbookViewId="0">
      <selection activeCell="F17" sqref="F17"/>
    </sheetView>
  </sheetViews>
  <sheetFormatPr defaultColWidth="8.71818181818182" defaultRowHeight="14" outlineLevelCol="6"/>
  <cols>
    <col min="1" max="1" width="31.6363636363636" customWidth="1"/>
    <col min="2" max="6" width="25.6363636363636" customWidth="1"/>
  </cols>
  <sheetData>
    <row r="1" ht="25" customHeight="1" spans="1:7">
      <c r="A1" s="135" t="s">
        <v>0</v>
      </c>
      <c r="B1" s="135" t="s">
        <v>1</v>
      </c>
      <c r="C1" s="135" t="s">
        <v>2</v>
      </c>
      <c r="D1" s="135" t="s">
        <v>3</v>
      </c>
      <c r="E1" s="135" t="s">
        <v>4</v>
      </c>
      <c r="F1" s="135" t="s">
        <v>5</v>
      </c>
      <c r="G1" s="135" t="s">
        <v>6</v>
      </c>
    </row>
    <row r="2" ht="25" customHeight="1" spans="1:7">
      <c r="A2" s="136" t="s">
        <v>7</v>
      </c>
      <c r="B2" s="41">
        <v>135</v>
      </c>
      <c r="C2" s="41">
        <v>204</v>
      </c>
      <c r="D2" s="41"/>
      <c r="E2" s="41">
        <v>54</v>
      </c>
      <c r="F2" s="137">
        <v>393</v>
      </c>
      <c r="G2" s="137">
        <v>343</v>
      </c>
    </row>
    <row r="3" ht="25" customHeight="1" spans="1:7">
      <c r="A3" s="136" t="s">
        <v>8</v>
      </c>
      <c r="B3" s="138">
        <v>91</v>
      </c>
      <c r="C3" s="139"/>
      <c r="D3" s="41"/>
      <c r="E3" s="41"/>
      <c r="F3" s="137">
        <v>91</v>
      </c>
      <c r="G3" s="137">
        <v>71</v>
      </c>
    </row>
    <row r="4" ht="25" customHeight="1" spans="1:7">
      <c r="A4" s="136" t="s">
        <v>9</v>
      </c>
      <c r="B4" s="41">
        <v>19</v>
      </c>
      <c r="C4" s="41">
        <v>16</v>
      </c>
      <c r="D4" s="41"/>
      <c r="E4" s="41">
        <v>3</v>
      </c>
      <c r="F4" s="137">
        <v>38</v>
      </c>
      <c r="G4" s="137">
        <v>28</v>
      </c>
    </row>
    <row r="5" ht="25" customHeight="1" spans="1:7">
      <c r="A5" s="136" t="s">
        <v>10</v>
      </c>
      <c r="B5" s="41">
        <v>164</v>
      </c>
      <c r="C5" s="41">
        <v>284</v>
      </c>
      <c r="D5" s="41">
        <v>20</v>
      </c>
      <c r="E5" s="41">
        <v>72</v>
      </c>
      <c r="F5" s="137">
        <v>540</v>
      </c>
      <c r="G5" s="137">
        <v>450</v>
      </c>
    </row>
    <row r="6" ht="25" customHeight="1" spans="1:7">
      <c r="A6" s="136" t="s">
        <v>11</v>
      </c>
      <c r="B6" s="140">
        <v>22</v>
      </c>
      <c r="C6" s="140">
        <v>35</v>
      </c>
      <c r="D6" s="140"/>
      <c r="E6" s="140">
        <v>11</v>
      </c>
      <c r="F6" s="141">
        <v>68</v>
      </c>
      <c r="G6" s="137">
        <v>58</v>
      </c>
    </row>
    <row r="7" ht="25" customHeight="1" spans="1:7">
      <c r="A7" s="142" t="s">
        <v>12</v>
      </c>
      <c r="B7" s="142">
        <f>SUM(F2:F6)</f>
        <v>1130</v>
      </c>
      <c r="C7" s="142"/>
      <c r="D7" s="142"/>
      <c r="E7" s="142"/>
      <c r="F7" s="142"/>
      <c r="G7" s="137">
        <f>SUM(G2:G6)</f>
        <v>950</v>
      </c>
    </row>
    <row r="31" ht="15" spans="1:6">
      <c r="A31" s="135" t="s">
        <v>0</v>
      </c>
      <c r="B31" s="135" t="s">
        <v>1</v>
      </c>
      <c r="C31" s="135" t="s">
        <v>2</v>
      </c>
      <c r="D31" s="135" t="s">
        <v>3</v>
      </c>
      <c r="E31" s="135" t="s">
        <v>4</v>
      </c>
      <c r="F31" s="135" t="s">
        <v>5</v>
      </c>
    </row>
    <row r="32" ht="15" spans="1:6">
      <c r="A32" s="136" t="s">
        <v>7</v>
      </c>
      <c r="B32" s="41">
        <v>135</v>
      </c>
      <c r="C32" s="41">
        <v>204</v>
      </c>
      <c r="D32" s="41"/>
      <c r="E32" s="41">
        <v>54</v>
      </c>
      <c r="F32" s="137">
        <v>336</v>
      </c>
    </row>
    <row r="33" ht="15" spans="1:6">
      <c r="A33" s="136" t="s">
        <v>8</v>
      </c>
      <c r="B33" s="138">
        <v>91</v>
      </c>
      <c r="C33" s="139"/>
      <c r="D33" s="41"/>
      <c r="E33" s="41"/>
      <c r="F33" s="137">
        <v>73</v>
      </c>
    </row>
    <row r="34" ht="15" spans="1:6">
      <c r="A34" s="136" t="s">
        <v>9</v>
      </c>
      <c r="B34" s="41">
        <v>19</v>
      </c>
      <c r="C34" s="41">
        <v>16</v>
      </c>
      <c r="D34" s="41"/>
      <c r="E34" s="41">
        <v>3</v>
      </c>
      <c r="F34" s="137">
        <v>29</v>
      </c>
    </row>
    <row r="35" ht="15" spans="1:6">
      <c r="A35" s="136" t="s">
        <v>10</v>
      </c>
      <c r="B35" s="41">
        <v>164</v>
      </c>
      <c r="C35" s="41">
        <v>284</v>
      </c>
      <c r="D35" s="41">
        <v>20</v>
      </c>
      <c r="E35" s="41">
        <v>72</v>
      </c>
      <c r="F35" s="137">
        <v>290</v>
      </c>
    </row>
    <row r="36" ht="15" spans="1:6">
      <c r="A36" s="136" t="s">
        <v>11</v>
      </c>
      <c r="B36" s="140">
        <v>22</v>
      </c>
      <c r="C36" s="140">
        <v>35</v>
      </c>
      <c r="D36" s="140"/>
      <c r="E36" s="140">
        <v>11</v>
      </c>
      <c r="F36" s="141">
        <v>50</v>
      </c>
    </row>
    <row r="37" ht="17.5" spans="1:6">
      <c r="A37" s="142" t="s">
        <v>12</v>
      </c>
      <c r="B37" s="142">
        <f>SUM(F32:F36)</f>
        <v>778</v>
      </c>
      <c r="C37" s="142"/>
      <c r="D37" s="142"/>
      <c r="E37" s="142"/>
      <c r="F37" s="142"/>
    </row>
  </sheetData>
  <mergeCells count="4">
    <mergeCell ref="B3:C3"/>
    <mergeCell ref="B7:F7"/>
    <mergeCell ref="B33:C33"/>
    <mergeCell ref="B37:F37"/>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1"/>
  <sheetViews>
    <sheetView tabSelected="1" zoomScale="85" zoomScaleNormal="85" workbookViewId="0">
      <pane ySplit="5" topLeftCell="A6" activePane="bottomLeft" state="frozen"/>
      <selection/>
      <selection pane="bottomLeft" activeCell="B7" sqref="B7:G7"/>
    </sheetView>
  </sheetViews>
  <sheetFormatPr defaultColWidth="8.71818181818182" defaultRowHeight="14"/>
  <cols>
    <col min="1" max="1" width="15.3545454545455" style="71" customWidth="1"/>
    <col min="2" max="6" width="8.71818181818182" style="72"/>
    <col min="7" max="7" width="43.2545454545455" style="72" customWidth="1"/>
    <col min="8" max="12" width="8.71818181818182" style="73" customWidth="1"/>
    <col min="13" max="13" width="8.71818181818182" customWidth="1"/>
    <col min="14" max="14" width="49.9" style="73" customWidth="1"/>
    <col min="15" max="17" width="18.6272727272727" customWidth="1"/>
    <col min="18" max="18" width="21.6272727272727" customWidth="1"/>
  </cols>
  <sheetData>
    <row r="1" ht="31.5" customHeight="1" spans="1:24">
      <c r="A1" s="105" t="s">
        <v>13</v>
      </c>
      <c r="B1" s="105"/>
      <c r="C1" s="105"/>
      <c r="D1" s="105"/>
      <c r="E1" s="105"/>
      <c r="F1" s="105"/>
      <c r="G1" s="105"/>
      <c r="H1" s="105"/>
      <c r="I1" s="105"/>
      <c r="J1" s="105"/>
      <c r="K1" s="105"/>
      <c r="L1" s="105"/>
      <c r="M1" s="105"/>
      <c r="N1" s="105"/>
      <c r="O1" s="105" t="s">
        <v>14</v>
      </c>
      <c r="P1" s="105"/>
      <c r="Q1" s="105"/>
      <c r="R1" s="105" t="s">
        <v>15</v>
      </c>
      <c r="U1" s="105" t="s">
        <v>14</v>
      </c>
      <c r="V1" s="105"/>
      <c r="W1" s="105"/>
      <c r="X1" s="105" t="s">
        <v>15</v>
      </c>
    </row>
    <row r="2" spans="1:24">
      <c r="A2" s="105"/>
      <c r="B2" s="105"/>
      <c r="C2" s="105"/>
      <c r="D2" s="105"/>
      <c r="E2" s="105"/>
      <c r="F2" s="105"/>
      <c r="G2" s="105"/>
      <c r="H2" s="105"/>
      <c r="I2" s="105"/>
      <c r="J2" s="105"/>
      <c r="K2" s="105"/>
      <c r="L2" s="105"/>
      <c r="M2" s="105"/>
      <c r="N2" s="105"/>
      <c r="O2" s="105"/>
      <c r="P2" s="105"/>
      <c r="Q2" s="105"/>
      <c r="R2" s="105"/>
      <c r="U2" s="105"/>
      <c r="V2" s="105"/>
      <c r="W2" s="105"/>
      <c r="X2" s="105"/>
    </row>
    <row r="3" ht="31.5" customHeight="1" spans="1:24">
      <c r="A3" s="105"/>
      <c r="B3" s="105"/>
      <c r="C3" s="105"/>
      <c r="D3" s="105"/>
      <c r="E3" s="105"/>
      <c r="F3" s="105"/>
      <c r="G3" s="105"/>
      <c r="H3" s="105"/>
      <c r="I3" s="105"/>
      <c r="J3" s="105"/>
      <c r="K3" s="105"/>
      <c r="L3" s="105"/>
      <c r="M3" s="105"/>
      <c r="N3" s="105"/>
      <c r="O3" s="105"/>
      <c r="P3" s="105"/>
      <c r="Q3" s="105"/>
      <c r="R3" s="105"/>
      <c r="U3" s="105"/>
      <c r="V3" s="105"/>
      <c r="W3" s="105"/>
      <c r="X3" s="105"/>
    </row>
    <row r="4" spans="1:24">
      <c r="A4" s="105"/>
      <c r="B4" s="105"/>
      <c r="C4" s="105"/>
      <c r="D4" s="105"/>
      <c r="E4" s="105"/>
      <c r="F4" s="105"/>
      <c r="G4" s="105"/>
      <c r="H4" s="105"/>
      <c r="I4" s="105"/>
      <c r="J4" s="105"/>
      <c r="K4" s="105"/>
      <c r="L4" s="105"/>
      <c r="M4" s="105"/>
      <c r="N4" s="105"/>
      <c r="O4" s="105"/>
      <c r="P4" s="105"/>
      <c r="Q4" s="105"/>
      <c r="R4" s="105"/>
      <c r="U4" s="105"/>
      <c r="V4" s="105"/>
      <c r="W4" s="105"/>
      <c r="X4" s="105"/>
    </row>
    <row r="5" ht="92" spans="1:24">
      <c r="A5" s="106" t="s">
        <v>16</v>
      </c>
      <c r="B5" s="107" t="s">
        <v>17</v>
      </c>
      <c r="C5" s="107"/>
      <c r="D5" s="107"/>
      <c r="E5" s="107"/>
      <c r="F5" s="107"/>
      <c r="G5" s="107"/>
      <c r="H5" s="106" t="s">
        <v>18</v>
      </c>
      <c r="I5" s="106"/>
      <c r="J5" s="106" t="s">
        <v>19</v>
      </c>
      <c r="K5" s="106"/>
      <c r="L5" s="106" t="s">
        <v>20</v>
      </c>
      <c r="M5" s="108"/>
      <c r="N5" s="109" t="s">
        <v>21</v>
      </c>
      <c r="O5" s="109" t="s">
        <v>1</v>
      </c>
      <c r="P5" s="109" t="s">
        <v>2</v>
      </c>
      <c r="Q5" s="109" t="s">
        <v>4</v>
      </c>
      <c r="R5" s="109" t="s">
        <v>22</v>
      </c>
      <c r="U5" s="109" t="s">
        <v>1</v>
      </c>
      <c r="V5" s="109" t="s">
        <v>2</v>
      </c>
      <c r="W5" s="109" t="s">
        <v>4</v>
      </c>
      <c r="X5" s="109" t="s">
        <v>22</v>
      </c>
    </row>
    <row r="6" ht="108" customHeight="1" spans="1:24">
      <c r="A6" s="76" t="s">
        <v>23</v>
      </c>
      <c r="B6" s="44" t="s">
        <v>24</v>
      </c>
      <c r="C6" s="44"/>
      <c r="D6" s="44"/>
      <c r="E6" s="44"/>
      <c r="F6" s="44"/>
      <c r="G6" s="44"/>
      <c r="H6" s="52" t="s">
        <v>25</v>
      </c>
      <c r="I6" s="52"/>
      <c r="J6" s="52" t="s">
        <v>26</v>
      </c>
      <c r="K6" s="52"/>
      <c r="L6" s="52" t="s">
        <v>27</v>
      </c>
      <c r="M6" s="37"/>
      <c r="N6" s="80"/>
      <c r="O6" s="36">
        <v>5</v>
      </c>
      <c r="P6" s="36">
        <v>3</v>
      </c>
      <c r="Q6" s="68">
        <v>5</v>
      </c>
      <c r="R6" s="36">
        <v>2</v>
      </c>
      <c r="U6" s="36">
        <v>3</v>
      </c>
      <c r="V6" s="36">
        <v>3</v>
      </c>
      <c r="W6" s="68">
        <v>3</v>
      </c>
      <c r="X6" s="36">
        <v>2</v>
      </c>
    </row>
    <row r="7" ht="105" customHeight="1" spans="1:24">
      <c r="A7" s="110"/>
      <c r="B7" s="43" t="s">
        <v>28</v>
      </c>
      <c r="C7" s="43"/>
      <c r="D7" s="43"/>
      <c r="E7" s="43"/>
      <c r="F7" s="43"/>
      <c r="G7" s="43"/>
      <c r="H7" s="52" t="s">
        <v>29</v>
      </c>
      <c r="I7" s="52"/>
      <c r="J7" s="52" t="s">
        <v>26</v>
      </c>
      <c r="K7" s="52"/>
      <c r="L7" s="52" t="s">
        <v>27</v>
      </c>
      <c r="M7" s="37"/>
      <c r="N7" s="111" t="s">
        <v>30</v>
      </c>
      <c r="O7" s="36">
        <v>3</v>
      </c>
      <c r="P7" s="36">
        <v>5</v>
      </c>
      <c r="Q7" s="68"/>
      <c r="R7" s="36">
        <v>3</v>
      </c>
      <c r="U7" s="36">
        <v>2</v>
      </c>
      <c r="V7" s="36">
        <v>3</v>
      </c>
      <c r="W7" s="68"/>
      <c r="X7" s="36">
        <v>2</v>
      </c>
    </row>
    <row r="8" ht="75" customHeight="1" spans="1:24">
      <c r="A8" s="110"/>
      <c r="B8" s="44" t="s">
        <v>31</v>
      </c>
      <c r="C8" s="44"/>
      <c r="D8" s="44"/>
      <c r="E8" s="44"/>
      <c r="F8" s="44"/>
      <c r="G8" s="44"/>
      <c r="H8" s="52" t="s">
        <v>25</v>
      </c>
      <c r="I8" s="52"/>
      <c r="J8" s="52" t="s">
        <v>32</v>
      </c>
      <c r="K8" s="52"/>
      <c r="L8" s="52" t="s">
        <v>27</v>
      </c>
      <c r="M8" s="37"/>
      <c r="N8" s="80" t="s">
        <v>33</v>
      </c>
      <c r="O8" s="36">
        <v>3</v>
      </c>
      <c r="P8" s="36">
        <v>2</v>
      </c>
      <c r="Q8" s="68"/>
      <c r="R8" s="36">
        <v>2</v>
      </c>
      <c r="U8" s="36">
        <v>2</v>
      </c>
      <c r="V8" s="36">
        <v>2</v>
      </c>
      <c r="W8" s="68"/>
      <c r="X8" s="36">
        <v>2</v>
      </c>
    </row>
    <row r="9" ht="137" customHeight="1" spans="1:24">
      <c r="A9" s="110"/>
      <c r="B9" s="44" t="s">
        <v>34</v>
      </c>
      <c r="C9" s="44"/>
      <c r="D9" s="44"/>
      <c r="E9" s="44"/>
      <c r="F9" s="44"/>
      <c r="G9" s="44"/>
      <c r="H9" s="52" t="s">
        <v>35</v>
      </c>
      <c r="I9" s="52"/>
      <c r="J9" s="52" t="s">
        <v>32</v>
      </c>
      <c r="K9" s="52"/>
      <c r="L9" s="52" t="s">
        <v>14</v>
      </c>
      <c r="M9" s="37"/>
      <c r="N9" s="80"/>
      <c r="O9" s="36">
        <v>2</v>
      </c>
      <c r="P9" s="36">
        <v>5</v>
      </c>
      <c r="Q9" s="68"/>
      <c r="R9" s="36"/>
      <c r="U9" s="36">
        <v>2</v>
      </c>
      <c r="V9" s="36">
        <v>4</v>
      </c>
      <c r="W9" s="68"/>
      <c r="X9" s="36"/>
    </row>
    <row r="10" ht="69" customHeight="1" spans="1:24">
      <c r="A10" s="110"/>
      <c r="B10" s="112" t="s">
        <v>36</v>
      </c>
      <c r="C10" s="113"/>
      <c r="D10" s="113"/>
      <c r="E10" s="113"/>
      <c r="F10" s="113"/>
      <c r="G10" s="114"/>
      <c r="H10" s="78"/>
      <c r="I10" s="79"/>
      <c r="J10" s="78"/>
      <c r="K10" s="79"/>
      <c r="L10" s="52" t="s">
        <v>14</v>
      </c>
      <c r="M10" s="37"/>
      <c r="N10" s="80"/>
      <c r="O10" s="36">
        <v>3</v>
      </c>
      <c r="P10" s="36">
        <v>3</v>
      </c>
      <c r="Q10" s="55">
        <v>1</v>
      </c>
      <c r="R10" s="36"/>
      <c r="U10" s="36">
        <v>3</v>
      </c>
      <c r="V10" s="36">
        <v>4</v>
      </c>
      <c r="W10" s="55">
        <v>1</v>
      </c>
      <c r="X10" s="36"/>
    </row>
    <row r="11" ht="74" customHeight="1" spans="1:24">
      <c r="A11" s="110"/>
      <c r="B11" s="115" t="s">
        <v>37</v>
      </c>
      <c r="C11" s="113"/>
      <c r="D11" s="113"/>
      <c r="E11" s="113"/>
      <c r="F11" s="113"/>
      <c r="G11" s="114"/>
      <c r="H11" s="78"/>
      <c r="I11" s="79"/>
      <c r="J11" s="78"/>
      <c r="K11" s="79"/>
      <c r="L11" s="52" t="s">
        <v>14</v>
      </c>
      <c r="M11" s="37"/>
      <c r="N11" s="80"/>
      <c r="O11" s="36">
        <v>3</v>
      </c>
      <c r="P11" s="36">
        <v>2</v>
      </c>
      <c r="Q11" s="60"/>
      <c r="R11" s="36"/>
      <c r="U11" s="36">
        <v>3</v>
      </c>
      <c r="V11" s="36">
        <v>3</v>
      </c>
      <c r="W11" s="60"/>
      <c r="X11" s="36"/>
    </row>
    <row r="12" ht="74" customHeight="1" spans="1:24">
      <c r="A12" s="77"/>
      <c r="B12" s="50" t="s">
        <v>38</v>
      </c>
      <c r="C12" s="53"/>
      <c r="D12" s="53"/>
      <c r="E12" s="53"/>
      <c r="F12" s="53"/>
      <c r="G12" s="51"/>
      <c r="H12" s="78"/>
      <c r="I12" s="79"/>
      <c r="J12" s="78"/>
      <c r="K12" s="79"/>
      <c r="L12" s="52" t="s">
        <v>14</v>
      </c>
      <c r="M12" s="37"/>
      <c r="N12" s="80"/>
      <c r="O12" s="36">
        <v>0</v>
      </c>
      <c r="P12" s="36">
        <v>3</v>
      </c>
      <c r="Q12" s="60">
        <v>1</v>
      </c>
      <c r="R12" s="36"/>
      <c r="U12" s="36">
        <v>0</v>
      </c>
      <c r="V12" s="36">
        <v>2</v>
      </c>
      <c r="W12" s="60"/>
      <c r="X12" s="36"/>
    </row>
    <row r="13" ht="70" customHeight="1" spans="1:24">
      <c r="A13" s="52" t="s">
        <v>39</v>
      </c>
      <c r="B13" s="44" t="s">
        <v>40</v>
      </c>
      <c r="C13" s="44"/>
      <c r="D13" s="44"/>
      <c r="E13" s="44"/>
      <c r="F13" s="44"/>
      <c r="G13" s="44"/>
      <c r="H13" s="52" t="s">
        <v>35</v>
      </c>
      <c r="I13" s="52"/>
      <c r="J13" s="52" t="s">
        <v>32</v>
      </c>
      <c r="K13" s="52"/>
      <c r="L13" s="52" t="s">
        <v>27</v>
      </c>
      <c r="M13" s="37"/>
      <c r="N13" s="80"/>
      <c r="O13" s="36">
        <v>2</v>
      </c>
      <c r="P13" s="36">
        <v>1</v>
      </c>
      <c r="Q13" s="68">
        <v>1</v>
      </c>
      <c r="R13" s="36">
        <v>1</v>
      </c>
      <c r="U13" s="36">
        <v>1</v>
      </c>
      <c r="V13" s="36">
        <v>1</v>
      </c>
      <c r="W13" s="68">
        <v>0.5</v>
      </c>
      <c r="X13" s="36">
        <v>1</v>
      </c>
    </row>
    <row r="14" ht="183" customHeight="1" spans="1:24">
      <c r="A14" s="52" t="s">
        <v>41</v>
      </c>
      <c r="B14" s="43" t="s">
        <v>42</v>
      </c>
      <c r="C14" s="43"/>
      <c r="D14" s="43"/>
      <c r="E14" s="43"/>
      <c r="F14" s="43"/>
      <c r="G14" s="43"/>
      <c r="H14" s="52" t="s">
        <v>35</v>
      </c>
      <c r="I14" s="52"/>
      <c r="J14" s="52" t="s">
        <v>32</v>
      </c>
      <c r="K14" s="52"/>
      <c r="L14" s="52" t="s">
        <v>27</v>
      </c>
      <c r="M14" s="37"/>
      <c r="N14" s="116"/>
      <c r="O14" s="36">
        <v>3</v>
      </c>
      <c r="P14" s="36">
        <v>5</v>
      </c>
      <c r="Q14" s="68">
        <v>1</v>
      </c>
      <c r="R14" s="36">
        <v>3</v>
      </c>
      <c r="U14" s="36">
        <v>3</v>
      </c>
      <c r="V14" s="36">
        <v>4</v>
      </c>
      <c r="W14" s="68">
        <v>1</v>
      </c>
      <c r="X14" s="36">
        <v>2</v>
      </c>
    </row>
    <row r="15" ht="41" customHeight="1" spans="1:24">
      <c r="A15" s="52" t="s">
        <v>43</v>
      </c>
      <c r="B15" s="44" t="s">
        <v>44</v>
      </c>
      <c r="C15" s="44"/>
      <c r="D15" s="44"/>
      <c r="E15" s="44"/>
      <c r="F15" s="44"/>
      <c r="G15" s="44"/>
      <c r="H15" s="52" t="s">
        <v>45</v>
      </c>
      <c r="I15" s="52"/>
      <c r="J15" s="52" t="s">
        <v>26</v>
      </c>
      <c r="K15" s="52"/>
      <c r="L15" s="52" t="s">
        <v>27</v>
      </c>
      <c r="M15" s="37"/>
      <c r="N15" s="80"/>
      <c r="O15" s="36">
        <v>3</v>
      </c>
      <c r="P15" s="36">
        <v>2</v>
      </c>
      <c r="Q15" s="68">
        <v>1</v>
      </c>
      <c r="R15" s="55">
        <v>3</v>
      </c>
      <c r="U15" s="36">
        <v>2</v>
      </c>
      <c r="V15" s="36">
        <v>1</v>
      </c>
      <c r="W15" s="68">
        <v>1</v>
      </c>
      <c r="X15" s="55">
        <v>2</v>
      </c>
    </row>
    <row r="16" ht="42" customHeight="1" spans="1:24">
      <c r="A16" s="52"/>
      <c r="B16" s="44" t="s">
        <v>46</v>
      </c>
      <c r="C16" s="44"/>
      <c r="D16" s="44"/>
      <c r="E16" s="44"/>
      <c r="F16" s="44"/>
      <c r="G16" s="44"/>
      <c r="H16" s="52" t="s">
        <v>35</v>
      </c>
      <c r="I16" s="52"/>
      <c r="J16" s="52" t="s">
        <v>32</v>
      </c>
      <c r="K16" s="52"/>
      <c r="L16" s="52" t="s">
        <v>27</v>
      </c>
      <c r="M16" s="37"/>
      <c r="N16" s="80"/>
      <c r="O16" s="36">
        <v>1</v>
      </c>
      <c r="P16" s="36">
        <v>3</v>
      </c>
      <c r="Q16" s="68"/>
      <c r="R16" s="60"/>
      <c r="U16" s="36">
        <v>1</v>
      </c>
      <c r="V16" s="36">
        <v>1</v>
      </c>
      <c r="W16" s="68"/>
      <c r="X16" s="60"/>
    </row>
    <row r="17" ht="106" customHeight="1" spans="1:24">
      <c r="A17" s="76" t="s">
        <v>47</v>
      </c>
      <c r="B17" s="44" t="s">
        <v>48</v>
      </c>
      <c r="C17" s="44"/>
      <c r="D17" s="44"/>
      <c r="E17" s="44"/>
      <c r="F17" s="44"/>
      <c r="G17" s="44"/>
      <c r="H17" s="52" t="s">
        <v>35</v>
      </c>
      <c r="I17" s="52"/>
      <c r="J17" s="52" t="s">
        <v>32</v>
      </c>
      <c r="K17" s="52"/>
      <c r="L17" s="52" t="s">
        <v>27</v>
      </c>
      <c r="M17" s="37"/>
      <c r="N17" s="80"/>
      <c r="O17" s="36">
        <v>3</v>
      </c>
      <c r="P17" s="36">
        <v>3</v>
      </c>
      <c r="Q17" s="68">
        <v>1</v>
      </c>
      <c r="R17" s="36">
        <v>1</v>
      </c>
      <c r="U17" s="36">
        <v>2</v>
      </c>
      <c r="V17" s="36">
        <v>2</v>
      </c>
      <c r="W17" s="68">
        <v>0.5</v>
      </c>
      <c r="X17" s="36">
        <v>1</v>
      </c>
    </row>
    <row r="18" ht="346" customHeight="1" spans="1:24">
      <c r="A18" s="110"/>
      <c r="B18" s="26" t="s">
        <v>49</v>
      </c>
      <c r="C18" s="43"/>
      <c r="D18" s="43"/>
      <c r="E18" s="43"/>
      <c r="F18" s="43"/>
      <c r="G18" s="43"/>
      <c r="H18" s="52" t="s">
        <v>35</v>
      </c>
      <c r="I18" s="52"/>
      <c r="J18" s="52" t="s">
        <v>32</v>
      </c>
      <c r="K18" s="52"/>
      <c r="L18" s="52" t="s">
        <v>27</v>
      </c>
      <c r="M18" s="37"/>
      <c r="N18" s="80"/>
      <c r="O18" s="36">
        <v>8</v>
      </c>
      <c r="P18" s="36">
        <v>10</v>
      </c>
      <c r="Q18" s="68">
        <v>2</v>
      </c>
      <c r="R18" s="36">
        <v>5</v>
      </c>
      <c r="U18" s="117">
        <v>8</v>
      </c>
      <c r="V18" s="117">
        <v>8</v>
      </c>
      <c r="W18" s="118">
        <v>2</v>
      </c>
      <c r="X18" s="117">
        <v>4</v>
      </c>
    </row>
    <row r="19" ht="409" customHeight="1" spans="1:24">
      <c r="A19" s="110"/>
      <c r="B19" s="44" t="s">
        <v>50</v>
      </c>
      <c r="C19" s="44"/>
      <c r="D19" s="44"/>
      <c r="E19" s="44"/>
      <c r="F19" s="44"/>
      <c r="G19" s="44"/>
      <c r="H19" s="52" t="s">
        <v>35</v>
      </c>
      <c r="I19" s="52"/>
      <c r="J19" s="52" t="s">
        <v>32</v>
      </c>
      <c r="K19" s="52"/>
      <c r="L19" s="52" t="s">
        <v>27</v>
      </c>
      <c r="M19" s="37"/>
      <c r="N19" s="80" t="s">
        <v>51</v>
      </c>
      <c r="O19" s="36">
        <v>5</v>
      </c>
      <c r="P19" s="36">
        <v>5</v>
      </c>
      <c r="Q19" s="68">
        <v>1</v>
      </c>
      <c r="R19" s="36">
        <v>3</v>
      </c>
      <c r="U19" s="117">
        <v>8</v>
      </c>
      <c r="V19" s="117">
        <v>8</v>
      </c>
      <c r="W19" s="118">
        <v>2</v>
      </c>
      <c r="X19" s="117">
        <v>4</v>
      </c>
    </row>
    <row r="20" ht="38" customHeight="1" spans="1:24">
      <c r="A20" s="110"/>
      <c r="B20" s="44" t="s">
        <v>52</v>
      </c>
      <c r="C20" s="44"/>
      <c r="D20" s="44"/>
      <c r="E20" s="44"/>
      <c r="F20" s="44"/>
      <c r="G20" s="44"/>
      <c r="H20" s="52" t="s">
        <v>35</v>
      </c>
      <c r="I20" s="52"/>
      <c r="J20" s="52" t="s">
        <v>26</v>
      </c>
      <c r="K20" s="52"/>
      <c r="L20" s="52" t="s">
        <v>27</v>
      </c>
      <c r="M20" s="37"/>
      <c r="N20" s="80"/>
      <c r="O20" s="36">
        <v>1</v>
      </c>
      <c r="P20" s="36">
        <v>5</v>
      </c>
      <c r="Q20" s="68">
        <v>2</v>
      </c>
      <c r="R20" s="36">
        <v>2</v>
      </c>
      <c r="U20" s="117">
        <v>3</v>
      </c>
      <c r="V20" s="117">
        <v>3</v>
      </c>
      <c r="W20" s="118">
        <v>1</v>
      </c>
      <c r="X20" s="117">
        <v>2</v>
      </c>
    </row>
    <row r="21" ht="77" customHeight="1" spans="1:24">
      <c r="A21" s="110"/>
      <c r="B21" s="44" t="s">
        <v>53</v>
      </c>
      <c r="C21" s="44"/>
      <c r="D21" s="44"/>
      <c r="E21" s="44"/>
      <c r="F21" s="44"/>
      <c r="G21" s="44"/>
      <c r="H21" s="52" t="s">
        <v>45</v>
      </c>
      <c r="I21" s="52"/>
      <c r="J21" s="52" t="s">
        <v>32</v>
      </c>
      <c r="K21" s="52"/>
      <c r="L21" s="52" t="s">
        <v>27</v>
      </c>
      <c r="M21" s="37"/>
      <c r="N21" s="80"/>
      <c r="O21" s="36">
        <v>3</v>
      </c>
      <c r="P21" s="36">
        <v>6</v>
      </c>
      <c r="Q21" s="68">
        <v>1</v>
      </c>
      <c r="R21" s="36">
        <v>3</v>
      </c>
      <c r="U21" s="36">
        <v>3</v>
      </c>
      <c r="V21" s="36">
        <v>4</v>
      </c>
      <c r="W21" s="68">
        <v>1</v>
      </c>
      <c r="X21" s="36">
        <v>2</v>
      </c>
    </row>
    <row r="22" ht="34" customHeight="1" spans="1:24">
      <c r="A22" s="110"/>
      <c r="B22" s="44" t="s">
        <v>54</v>
      </c>
      <c r="C22" s="44"/>
      <c r="D22" s="44"/>
      <c r="E22" s="44"/>
      <c r="F22" s="44"/>
      <c r="G22" s="44"/>
      <c r="H22" s="52" t="s">
        <v>25</v>
      </c>
      <c r="I22" s="52"/>
      <c r="J22" s="52" t="s">
        <v>26</v>
      </c>
      <c r="K22" s="52"/>
      <c r="L22" s="52" t="s">
        <v>27</v>
      </c>
      <c r="M22" s="37"/>
      <c r="N22" s="80"/>
      <c r="O22" s="36">
        <v>5</v>
      </c>
      <c r="P22" s="36">
        <v>6</v>
      </c>
      <c r="Q22" s="68">
        <v>1</v>
      </c>
      <c r="R22" s="36">
        <v>5</v>
      </c>
      <c r="U22" s="117">
        <v>5</v>
      </c>
      <c r="V22" s="117">
        <v>6</v>
      </c>
      <c r="W22" s="118">
        <v>1</v>
      </c>
      <c r="X22" s="117">
        <v>5</v>
      </c>
    </row>
    <row r="23" ht="115" customHeight="1" spans="1:24">
      <c r="A23" s="110"/>
      <c r="B23" s="44" t="s">
        <v>55</v>
      </c>
      <c r="C23" s="44"/>
      <c r="D23" s="44"/>
      <c r="E23" s="44"/>
      <c r="F23" s="44"/>
      <c r="G23" s="44"/>
      <c r="H23" s="52" t="s">
        <v>56</v>
      </c>
      <c r="I23" s="52"/>
      <c r="J23" s="52" t="s">
        <v>26</v>
      </c>
      <c r="K23" s="52"/>
      <c r="L23" s="52" t="s">
        <v>27</v>
      </c>
      <c r="M23" s="37"/>
      <c r="N23" s="80"/>
      <c r="O23" s="36">
        <v>3</v>
      </c>
      <c r="P23" s="36">
        <v>10</v>
      </c>
      <c r="Q23" s="68">
        <v>2</v>
      </c>
      <c r="R23" s="36">
        <v>4</v>
      </c>
      <c r="U23" s="117">
        <v>3</v>
      </c>
      <c r="V23" s="117">
        <v>5</v>
      </c>
      <c r="W23" s="118">
        <v>2</v>
      </c>
      <c r="X23" s="117">
        <v>3</v>
      </c>
    </row>
    <row r="24" ht="100" customHeight="1" spans="1:24">
      <c r="A24" s="110"/>
      <c r="B24" s="44" t="s">
        <v>57</v>
      </c>
      <c r="C24" s="44"/>
      <c r="D24" s="44"/>
      <c r="E24" s="44"/>
      <c r="F24" s="44"/>
      <c r="G24" s="44"/>
      <c r="H24" s="52" t="s">
        <v>56</v>
      </c>
      <c r="I24" s="52"/>
      <c r="J24" s="52" t="s">
        <v>26</v>
      </c>
      <c r="K24" s="52"/>
      <c r="L24" s="52" t="s">
        <v>27</v>
      </c>
      <c r="M24" s="37"/>
      <c r="N24" s="80" t="s">
        <v>58</v>
      </c>
      <c r="O24" s="36">
        <v>2</v>
      </c>
      <c r="P24" s="36">
        <v>3</v>
      </c>
      <c r="Q24" s="68">
        <v>1</v>
      </c>
      <c r="R24" s="36">
        <v>2</v>
      </c>
      <c r="U24" s="36">
        <v>2</v>
      </c>
      <c r="V24" s="36">
        <v>2</v>
      </c>
      <c r="W24" s="68">
        <v>1</v>
      </c>
      <c r="X24" s="36">
        <v>1</v>
      </c>
    </row>
    <row r="25" ht="189" customHeight="1" spans="1:24">
      <c r="A25" s="110"/>
      <c r="B25" s="44" t="s">
        <v>59</v>
      </c>
      <c r="C25" s="44"/>
      <c r="D25" s="44"/>
      <c r="E25" s="44"/>
      <c r="F25" s="44"/>
      <c r="G25" s="44"/>
      <c r="H25" s="52" t="s">
        <v>35</v>
      </c>
      <c r="I25" s="52"/>
      <c r="J25" s="52" t="s">
        <v>32</v>
      </c>
      <c r="K25" s="52"/>
      <c r="L25" s="52" t="s">
        <v>27</v>
      </c>
      <c r="M25" s="37"/>
      <c r="N25" s="80" t="s">
        <v>58</v>
      </c>
      <c r="O25" s="36">
        <v>5</v>
      </c>
      <c r="P25" s="36">
        <v>5</v>
      </c>
      <c r="Q25" s="68">
        <v>5</v>
      </c>
      <c r="R25" s="36">
        <v>2</v>
      </c>
      <c r="U25" s="36">
        <v>4</v>
      </c>
      <c r="V25" s="36">
        <v>4</v>
      </c>
      <c r="W25" s="68">
        <v>4</v>
      </c>
      <c r="X25" s="36">
        <v>2</v>
      </c>
    </row>
    <row r="26" ht="184" customHeight="1" spans="1:24">
      <c r="A26" s="110"/>
      <c r="B26" s="44" t="s">
        <v>60</v>
      </c>
      <c r="C26" s="44"/>
      <c r="D26" s="44"/>
      <c r="E26" s="44"/>
      <c r="F26" s="44"/>
      <c r="G26" s="44"/>
      <c r="H26" s="52" t="s">
        <v>35</v>
      </c>
      <c r="I26" s="52"/>
      <c r="J26" s="52" t="s">
        <v>32</v>
      </c>
      <c r="K26" s="52"/>
      <c r="L26" s="52" t="s">
        <v>27</v>
      </c>
      <c r="M26" s="37"/>
      <c r="N26" s="80" t="s">
        <v>58</v>
      </c>
      <c r="O26" s="36">
        <v>5</v>
      </c>
      <c r="P26" s="36">
        <v>5</v>
      </c>
      <c r="Q26" s="68"/>
      <c r="R26" s="36">
        <v>2</v>
      </c>
      <c r="U26" s="36">
        <v>4</v>
      </c>
      <c r="V26" s="36">
        <v>4</v>
      </c>
      <c r="W26" s="68"/>
      <c r="X26" s="36">
        <v>2</v>
      </c>
    </row>
    <row r="27" ht="204" customHeight="1" spans="1:24">
      <c r="A27" s="110"/>
      <c r="B27" s="44" t="s">
        <v>61</v>
      </c>
      <c r="C27" s="44"/>
      <c r="D27" s="44"/>
      <c r="E27" s="44"/>
      <c r="F27" s="44"/>
      <c r="G27" s="44"/>
      <c r="H27" s="52" t="s">
        <v>35</v>
      </c>
      <c r="I27" s="52"/>
      <c r="J27" s="52" t="s">
        <v>32</v>
      </c>
      <c r="K27" s="52"/>
      <c r="L27" s="52" t="s">
        <v>27</v>
      </c>
      <c r="M27" s="37"/>
      <c r="N27" s="80" t="s">
        <v>58</v>
      </c>
      <c r="O27" s="36">
        <v>5</v>
      </c>
      <c r="P27" s="36">
        <v>5</v>
      </c>
      <c r="Q27" s="68"/>
      <c r="R27" s="36">
        <v>2</v>
      </c>
      <c r="U27" s="36">
        <v>4</v>
      </c>
      <c r="V27" s="36">
        <v>4</v>
      </c>
      <c r="W27" s="68"/>
      <c r="X27" s="36">
        <v>2</v>
      </c>
    </row>
    <row r="28" ht="68" customHeight="1" spans="1:24">
      <c r="A28" s="77"/>
      <c r="B28" s="50" t="s">
        <v>62</v>
      </c>
      <c r="C28" s="53"/>
      <c r="D28" s="53"/>
      <c r="E28" s="53"/>
      <c r="F28" s="53"/>
      <c r="G28" s="51"/>
      <c r="H28" s="78"/>
      <c r="I28" s="79"/>
      <c r="J28" s="78"/>
      <c r="K28" s="79"/>
      <c r="L28" s="52" t="s">
        <v>27</v>
      </c>
      <c r="M28" s="37"/>
      <c r="N28" s="80"/>
      <c r="O28" s="36">
        <v>0</v>
      </c>
      <c r="P28" s="36">
        <v>5</v>
      </c>
      <c r="Q28" s="68">
        <v>1</v>
      </c>
      <c r="R28" s="36">
        <v>3</v>
      </c>
      <c r="U28" s="36">
        <v>1</v>
      </c>
      <c r="V28" s="36">
        <v>4</v>
      </c>
      <c r="W28" s="68">
        <v>1</v>
      </c>
      <c r="X28" s="36">
        <v>3</v>
      </c>
    </row>
    <row r="29" ht="123" customHeight="1" spans="1:24">
      <c r="A29" s="52" t="s">
        <v>63</v>
      </c>
      <c r="B29" s="44" t="s">
        <v>64</v>
      </c>
      <c r="C29" s="44"/>
      <c r="D29" s="44"/>
      <c r="E29" s="44"/>
      <c r="F29" s="44"/>
      <c r="G29" s="44"/>
      <c r="H29" s="52" t="s">
        <v>35</v>
      </c>
      <c r="I29" s="52"/>
      <c r="J29" s="52" t="s">
        <v>26</v>
      </c>
      <c r="K29" s="52"/>
      <c r="L29" s="52" t="s">
        <v>27</v>
      </c>
      <c r="M29" s="37"/>
      <c r="N29" s="80"/>
      <c r="O29" s="36">
        <v>5</v>
      </c>
      <c r="P29" s="36">
        <v>10</v>
      </c>
      <c r="Q29" s="68">
        <v>4</v>
      </c>
      <c r="R29" s="36">
        <v>5</v>
      </c>
      <c r="U29" s="36">
        <v>3</v>
      </c>
      <c r="V29" s="36">
        <v>5</v>
      </c>
      <c r="W29" s="68">
        <v>3</v>
      </c>
      <c r="X29" s="36">
        <v>3</v>
      </c>
    </row>
    <row r="30" ht="40" customHeight="1" spans="1:24">
      <c r="A30" s="52"/>
      <c r="B30" s="44" t="s">
        <v>65</v>
      </c>
      <c r="C30" s="44"/>
      <c r="D30" s="44"/>
      <c r="E30" s="44"/>
      <c r="F30" s="44"/>
      <c r="G30" s="44"/>
      <c r="H30" s="52" t="s">
        <v>35</v>
      </c>
      <c r="I30" s="52"/>
      <c r="J30" s="52" t="s">
        <v>26</v>
      </c>
      <c r="K30" s="52"/>
      <c r="L30" s="52" t="s">
        <v>27</v>
      </c>
      <c r="M30" s="37"/>
      <c r="N30" s="80"/>
      <c r="O30" s="36">
        <v>6</v>
      </c>
      <c r="P30" s="36">
        <v>5</v>
      </c>
      <c r="Q30" s="68"/>
      <c r="R30" s="36">
        <v>3</v>
      </c>
      <c r="U30" s="36">
        <v>3</v>
      </c>
      <c r="V30" s="36">
        <v>3</v>
      </c>
      <c r="W30" s="68"/>
      <c r="X30" s="36">
        <v>1</v>
      </c>
    </row>
    <row r="31" ht="140" customHeight="1" spans="1:24">
      <c r="A31" s="52" t="s">
        <v>66</v>
      </c>
      <c r="B31" s="44" t="s">
        <v>67</v>
      </c>
      <c r="C31" s="44"/>
      <c r="D31" s="44"/>
      <c r="E31" s="44"/>
      <c r="F31" s="44"/>
      <c r="G31" s="44"/>
      <c r="H31" s="52" t="s">
        <v>56</v>
      </c>
      <c r="I31" s="52"/>
      <c r="J31" s="52" t="s">
        <v>26</v>
      </c>
      <c r="K31" s="52"/>
      <c r="L31" s="52" t="s">
        <v>27</v>
      </c>
      <c r="M31" s="37"/>
      <c r="N31" s="80" t="s">
        <v>58</v>
      </c>
      <c r="O31" s="36">
        <v>5</v>
      </c>
      <c r="P31" s="36">
        <v>8</v>
      </c>
      <c r="Q31" s="68">
        <v>1</v>
      </c>
      <c r="R31" s="36">
        <v>4</v>
      </c>
      <c r="U31" s="36">
        <v>5</v>
      </c>
      <c r="V31" s="36">
        <v>6</v>
      </c>
      <c r="W31" s="68">
        <v>2</v>
      </c>
      <c r="X31" s="36">
        <v>3</v>
      </c>
    </row>
    <row r="32" ht="59" customHeight="1" spans="1:24">
      <c r="A32" s="76" t="s">
        <v>68</v>
      </c>
      <c r="B32" s="44" t="s">
        <v>69</v>
      </c>
      <c r="C32" s="44"/>
      <c r="D32" s="44"/>
      <c r="E32" s="44"/>
      <c r="F32" s="44"/>
      <c r="G32" s="44"/>
      <c r="H32" s="52" t="s">
        <v>70</v>
      </c>
      <c r="I32" s="52"/>
      <c r="J32" s="52" t="s">
        <v>26</v>
      </c>
      <c r="K32" s="52"/>
      <c r="L32" s="52" t="s">
        <v>71</v>
      </c>
      <c r="M32" s="37"/>
      <c r="N32" s="80" t="s">
        <v>58</v>
      </c>
      <c r="O32" s="36">
        <v>3</v>
      </c>
      <c r="P32" s="36">
        <v>5</v>
      </c>
      <c r="Q32" s="55">
        <v>5</v>
      </c>
      <c r="R32" s="36">
        <v>4</v>
      </c>
      <c r="U32" s="36">
        <v>4</v>
      </c>
      <c r="V32" s="36">
        <v>4</v>
      </c>
      <c r="W32" s="55">
        <v>3</v>
      </c>
      <c r="X32" s="36">
        <v>3</v>
      </c>
    </row>
    <row r="33" ht="70" customHeight="1" spans="1:24">
      <c r="A33" s="110"/>
      <c r="B33" s="46" t="s">
        <v>72</v>
      </c>
      <c r="C33" s="46"/>
      <c r="D33" s="46"/>
      <c r="E33" s="46"/>
      <c r="F33" s="46"/>
      <c r="G33" s="46"/>
      <c r="H33" s="52" t="s">
        <v>70</v>
      </c>
      <c r="I33" s="52"/>
      <c r="J33" s="52" t="s">
        <v>26</v>
      </c>
      <c r="K33" s="52"/>
      <c r="L33" s="52" t="s">
        <v>14</v>
      </c>
      <c r="M33" s="37"/>
      <c r="N33" s="80" t="s">
        <v>58</v>
      </c>
      <c r="O33" s="36">
        <v>6</v>
      </c>
      <c r="P33" s="36">
        <v>8</v>
      </c>
      <c r="Q33" s="119"/>
      <c r="R33" s="36"/>
      <c r="U33" s="36">
        <v>6</v>
      </c>
      <c r="V33" s="36">
        <v>6</v>
      </c>
      <c r="W33" s="119"/>
      <c r="X33" s="36"/>
    </row>
    <row r="34" ht="39" customHeight="1" spans="1:24">
      <c r="A34" s="110"/>
      <c r="B34" s="57" t="s">
        <v>73</v>
      </c>
      <c r="C34" s="58"/>
      <c r="D34" s="58"/>
      <c r="E34" s="58"/>
      <c r="F34" s="58"/>
      <c r="G34" s="59"/>
      <c r="H34" s="78"/>
      <c r="I34" s="79"/>
      <c r="J34" s="78"/>
      <c r="K34" s="79"/>
      <c r="L34" s="52" t="s">
        <v>14</v>
      </c>
      <c r="M34" s="37"/>
      <c r="N34" s="80"/>
      <c r="O34" s="36">
        <v>0</v>
      </c>
      <c r="P34" s="36">
        <v>10</v>
      </c>
      <c r="Q34" s="119"/>
      <c r="R34" s="36"/>
      <c r="U34" s="36">
        <v>3</v>
      </c>
      <c r="V34" s="36">
        <v>5</v>
      </c>
      <c r="W34" s="119"/>
      <c r="X34" s="36"/>
    </row>
    <row r="35" ht="85" customHeight="1" spans="1:24">
      <c r="A35" s="52" t="s">
        <v>74</v>
      </c>
      <c r="B35" s="26" t="s">
        <v>75</v>
      </c>
      <c r="C35" s="43"/>
      <c r="D35" s="43"/>
      <c r="E35" s="43"/>
      <c r="F35" s="43"/>
      <c r="G35" s="43"/>
      <c r="H35" s="52" t="s">
        <v>35</v>
      </c>
      <c r="I35" s="52"/>
      <c r="J35" s="52" t="s">
        <v>32</v>
      </c>
      <c r="K35" s="52"/>
      <c r="L35" s="52" t="s">
        <v>27</v>
      </c>
      <c r="M35" s="37"/>
      <c r="N35" s="80" t="s">
        <v>58</v>
      </c>
      <c r="O35" s="36">
        <v>5</v>
      </c>
      <c r="P35" s="36">
        <v>3</v>
      </c>
      <c r="Q35" s="68">
        <v>1</v>
      </c>
      <c r="R35" s="36">
        <v>3</v>
      </c>
      <c r="U35" s="36">
        <v>4</v>
      </c>
      <c r="V35" s="36">
        <v>4</v>
      </c>
      <c r="W35" s="68">
        <v>2</v>
      </c>
      <c r="X35" s="36">
        <v>2</v>
      </c>
    </row>
    <row r="36" ht="130" customHeight="1" spans="1:24">
      <c r="A36" s="52" t="s">
        <v>76</v>
      </c>
      <c r="B36" s="43" t="s">
        <v>77</v>
      </c>
      <c r="C36" s="43"/>
      <c r="D36" s="43"/>
      <c r="E36" s="43"/>
      <c r="F36" s="43"/>
      <c r="G36" s="43"/>
      <c r="H36" s="52" t="s">
        <v>56</v>
      </c>
      <c r="I36" s="52"/>
      <c r="J36" s="52" t="s">
        <v>26</v>
      </c>
      <c r="K36" s="52"/>
      <c r="L36" s="52" t="s">
        <v>27</v>
      </c>
      <c r="M36" s="37"/>
      <c r="N36" s="80"/>
      <c r="O36" s="36">
        <v>2</v>
      </c>
      <c r="P36" s="36">
        <v>6</v>
      </c>
      <c r="Q36" s="68">
        <v>3</v>
      </c>
      <c r="R36" s="36">
        <v>3</v>
      </c>
      <c r="U36" s="36">
        <v>3</v>
      </c>
      <c r="V36" s="36">
        <v>4</v>
      </c>
      <c r="W36" s="68">
        <v>2</v>
      </c>
      <c r="X36" s="36">
        <v>2</v>
      </c>
    </row>
    <row r="37" ht="56" customHeight="1" spans="1:24">
      <c r="A37" s="52" t="s">
        <v>78</v>
      </c>
      <c r="B37" s="44" t="s">
        <v>79</v>
      </c>
      <c r="C37" s="44"/>
      <c r="D37" s="44"/>
      <c r="E37" s="44"/>
      <c r="F37" s="44"/>
      <c r="G37" s="44"/>
      <c r="H37" s="52" t="s">
        <v>56</v>
      </c>
      <c r="I37" s="52"/>
      <c r="J37" s="52" t="s">
        <v>26</v>
      </c>
      <c r="K37" s="52"/>
      <c r="L37" s="52" t="s">
        <v>27</v>
      </c>
      <c r="M37" s="37"/>
      <c r="N37" s="80"/>
      <c r="O37" s="36">
        <v>5</v>
      </c>
      <c r="P37" s="36">
        <v>3</v>
      </c>
      <c r="Q37" s="68"/>
      <c r="R37" s="36">
        <v>2</v>
      </c>
      <c r="U37" s="36">
        <v>2</v>
      </c>
      <c r="V37" s="36">
        <v>2</v>
      </c>
      <c r="W37" s="68"/>
      <c r="X37" s="36">
        <v>1</v>
      </c>
    </row>
    <row r="38" ht="184" customHeight="1" spans="1:24">
      <c r="A38" s="52" t="s">
        <v>80</v>
      </c>
      <c r="B38" s="44" t="s">
        <v>81</v>
      </c>
      <c r="C38" s="44"/>
      <c r="D38" s="44"/>
      <c r="E38" s="44"/>
      <c r="F38" s="44"/>
      <c r="G38" s="44"/>
      <c r="H38" s="52" t="s">
        <v>82</v>
      </c>
      <c r="I38" s="52"/>
      <c r="J38" s="52" t="s">
        <v>26</v>
      </c>
      <c r="K38" s="52"/>
      <c r="L38" s="52" t="s">
        <v>27</v>
      </c>
      <c r="M38" s="37"/>
      <c r="N38" s="80" t="s">
        <v>83</v>
      </c>
      <c r="O38" s="36">
        <v>6</v>
      </c>
      <c r="P38" s="36">
        <v>5</v>
      </c>
      <c r="Q38" s="68">
        <v>3</v>
      </c>
      <c r="R38" s="36">
        <v>5</v>
      </c>
      <c r="U38" s="117">
        <v>5</v>
      </c>
      <c r="V38" s="117">
        <v>5</v>
      </c>
      <c r="W38" s="68">
        <v>2</v>
      </c>
      <c r="X38" s="36">
        <v>3</v>
      </c>
    </row>
    <row r="39" ht="63" customHeight="1" spans="1:24">
      <c r="A39" s="52"/>
      <c r="B39" s="44" t="s">
        <v>84</v>
      </c>
      <c r="C39" s="44"/>
      <c r="D39" s="44"/>
      <c r="E39" s="44"/>
      <c r="F39" s="44"/>
      <c r="G39" s="44"/>
      <c r="H39" s="52" t="s">
        <v>82</v>
      </c>
      <c r="I39" s="52"/>
      <c r="J39" s="52" t="s">
        <v>26</v>
      </c>
      <c r="K39" s="52"/>
      <c r="L39" s="52" t="s">
        <v>27</v>
      </c>
      <c r="M39" s="37"/>
      <c r="N39" s="80" t="s">
        <v>83</v>
      </c>
      <c r="O39" s="36">
        <v>1</v>
      </c>
      <c r="P39" s="36">
        <v>1</v>
      </c>
      <c r="Q39" s="68"/>
      <c r="R39" s="55">
        <v>1</v>
      </c>
      <c r="U39" s="36">
        <v>1</v>
      </c>
      <c r="V39" s="36">
        <v>1</v>
      </c>
      <c r="W39" s="68"/>
      <c r="X39" s="55">
        <v>1</v>
      </c>
    </row>
    <row r="40" ht="52" customHeight="1" spans="1:24">
      <c r="A40" s="52"/>
      <c r="B40" s="44" t="s">
        <v>85</v>
      </c>
      <c r="C40" s="44"/>
      <c r="D40" s="44"/>
      <c r="E40" s="44"/>
      <c r="F40" s="44"/>
      <c r="G40" s="44"/>
      <c r="H40" s="52" t="s">
        <v>82</v>
      </c>
      <c r="I40" s="52"/>
      <c r="J40" s="52" t="s">
        <v>26</v>
      </c>
      <c r="K40" s="52"/>
      <c r="L40" s="52" t="s">
        <v>27</v>
      </c>
      <c r="M40" s="37"/>
      <c r="N40" s="80" t="s">
        <v>58</v>
      </c>
      <c r="O40" s="36">
        <v>1</v>
      </c>
      <c r="P40" s="36">
        <v>2</v>
      </c>
      <c r="Q40" s="68"/>
      <c r="R40" s="60"/>
      <c r="U40" s="36">
        <v>2</v>
      </c>
      <c r="V40" s="36">
        <v>2</v>
      </c>
      <c r="W40" s="68"/>
      <c r="X40" s="60"/>
    </row>
    <row r="41" ht="102" customHeight="1" spans="1:24">
      <c r="A41" s="52" t="s">
        <v>74</v>
      </c>
      <c r="B41" s="44" t="s">
        <v>86</v>
      </c>
      <c r="C41" s="44"/>
      <c r="D41" s="44"/>
      <c r="E41" s="44"/>
      <c r="F41" s="44"/>
      <c r="G41" s="44"/>
      <c r="H41" s="52" t="s">
        <v>35</v>
      </c>
      <c r="I41" s="52"/>
      <c r="J41" s="52" t="s">
        <v>26</v>
      </c>
      <c r="K41" s="52"/>
      <c r="L41" s="52" t="s">
        <v>27</v>
      </c>
      <c r="M41" s="37"/>
      <c r="N41" s="80" t="s">
        <v>58</v>
      </c>
      <c r="O41" s="36">
        <v>3</v>
      </c>
      <c r="P41" s="36">
        <v>5</v>
      </c>
      <c r="Q41" s="68">
        <v>1</v>
      </c>
      <c r="R41" s="36">
        <v>3</v>
      </c>
      <c r="U41" s="36">
        <v>3</v>
      </c>
      <c r="V41" s="36">
        <v>4</v>
      </c>
      <c r="W41" s="68">
        <v>2</v>
      </c>
      <c r="X41" s="36">
        <v>2</v>
      </c>
    </row>
    <row r="42" ht="43" customHeight="1" spans="1:24">
      <c r="A42" s="120" t="s">
        <v>87</v>
      </c>
      <c r="B42" s="120" t="s">
        <v>88</v>
      </c>
      <c r="C42" s="120"/>
      <c r="D42" s="120"/>
      <c r="E42" s="120"/>
      <c r="F42" s="120"/>
      <c r="G42" s="120"/>
      <c r="H42" s="52"/>
      <c r="I42" s="52"/>
      <c r="J42" s="52"/>
      <c r="K42" s="52"/>
      <c r="L42" s="52"/>
      <c r="M42" s="37"/>
      <c r="N42" s="80"/>
      <c r="O42" s="36"/>
      <c r="P42" s="36"/>
      <c r="Q42" s="68"/>
      <c r="R42" s="36"/>
      <c r="U42" s="36"/>
      <c r="V42" s="36"/>
      <c r="W42" s="68"/>
      <c r="X42" s="36"/>
    </row>
    <row r="43" ht="28" spans="1:24">
      <c r="A43" s="121" t="s">
        <v>89</v>
      </c>
      <c r="B43" s="43" t="s">
        <v>90</v>
      </c>
      <c r="C43" s="43"/>
      <c r="D43" s="43"/>
      <c r="E43" s="43"/>
      <c r="F43" s="43"/>
      <c r="G43" s="43"/>
      <c r="H43" s="52"/>
      <c r="I43" s="52"/>
      <c r="J43" s="52"/>
      <c r="K43" s="52"/>
      <c r="L43" s="52" t="s">
        <v>14</v>
      </c>
      <c r="M43" s="37"/>
      <c r="N43" s="80"/>
      <c r="O43" s="36">
        <v>0</v>
      </c>
      <c r="P43" s="36">
        <v>3</v>
      </c>
      <c r="Q43" s="68">
        <v>1</v>
      </c>
      <c r="R43" s="36"/>
      <c r="U43" s="36">
        <v>0</v>
      </c>
      <c r="V43" s="36">
        <v>3</v>
      </c>
      <c r="W43" s="68">
        <v>1</v>
      </c>
      <c r="X43" s="36"/>
    </row>
    <row r="44" ht="18" customHeight="1" spans="1:24">
      <c r="A44" s="121" t="s">
        <v>91</v>
      </c>
      <c r="B44" s="43" t="s">
        <v>92</v>
      </c>
      <c r="C44" s="43"/>
      <c r="D44" s="43"/>
      <c r="E44" s="43"/>
      <c r="F44" s="43"/>
      <c r="G44" s="43"/>
      <c r="H44" s="78"/>
      <c r="I44" s="79"/>
      <c r="J44" s="52"/>
      <c r="K44" s="52"/>
      <c r="L44" s="52" t="s">
        <v>14</v>
      </c>
      <c r="M44" s="37"/>
      <c r="N44" s="80"/>
      <c r="O44" s="36">
        <v>1</v>
      </c>
      <c r="P44" s="36">
        <v>1</v>
      </c>
      <c r="Q44" s="68">
        <v>1</v>
      </c>
      <c r="R44" s="36"/>
      <c r="U44" s="36">
        <v>1</v>
      </c>
      <c r="V44" s="36">
        <v>1</v>
      </c>
      <c r="W44" s="68">
        <v>1</v>
      </c>
      <c r="X44" s="36"/>
    </row>
    <row r="45" ht="29" customHeight="1" spans="1:24">
      <c r="A45" s="122" t="s">
        <v>93</v>
      </c>
      <c r="B45" s="18" t="s">
        <v>94</v>
      </c>
      <c r="C45" s="19"/>
      <c r="D45" s="19"/>
      <c r="E45" s="19"/>
      <c r="F45" s="19"/>
      <c r="G45" s="20"/>
      <c r="H45" s="112"/>
      <c r="I45" s="114"/>
      <c r="J45" s="112"/>
      <c r="K45" s="114"/>
      <c r="L45" s="52" t="s">
        <v>14</v>
      </c>
      <c r="M45" s="37"/>
      <c r="N45" s="80"/>
      <c r="O45" s="36">
        <v>3</v>
      </c>
      <c r="P45" s="36">
        <v>3</v>
      </c>
      <c r="Q45" s="123">
        <v>1</v>
      </c>
      <c r="R45" s="36"/>
      <c r="U45" s="36">
        <v>3</v>
      </c>
      <c r="V45" s="36">
        <v>3</v>
      </c>
      <c r="W45" s="123">
        <v>1</v>
      </c>
      <c r="X45" s="36"/>
    </row>
    <row r="46" ht="108" customHeight="1" spans="1:24">
      <c r="A46" s="122" t="s">
        <v>95</v>
      </c>
      <c r="B46" s="18" t="s">
        <v>96</v>
      </c>
      <c r="C46" s="19"/>
      <c r="D46" s="19"/>
      <c r="E46" s="19"/>
      <c r="F46" s="19"/>
      <c r="G46" s="20"/>
      <c r="H46" s="112"/>
      <c r="I46" s="114"/>
      <c r="J46" s="112"/>
      <c r="K46" s="114"/>
      <c r="L46" s="52" t="s">
        <v>14</v>
      </c>
      <c r="M46" s="37"/>
      <c r="N46" s="80"/>
      <c r="O46" s="36">
        <v>6</v>
      </c>
      <c r="P46" s="36">
        <v>12</v>
      </c>
      <c r="Q46" s="124">
        <v>3</v>
      </c>
      <c r="R46" s="36"/>
      <c r="U46" s="36">
        <v>6</v>
      </c>
      <c r="V46" s="36">
        <v>10</v>
      </c>
      <c r="W46" s="124">
        <v>3</v>
      </c>
      <c r="X46" s="36"/>
    </row>
    <row r="47" ht="60" customHeight="1" spans="1:24">
      <c r="A47" s="122" t="s">
        <v>97</v>
      </c>
      <c r="B47" s="18" t="s">
        <v>98</v>
      </c>
      <c r="C47" s="19"/>
      <c r="D47" s="19"/>
      <c r="E47" s="19"/>
      <c r="F47" s="19"/>
      <c r="G47" s="20"/>
      <c r="H47" s="112"/>
      <c r="I47" s="114"/>
      <c r="J47" s="112"/>
      <c r="K47" s="114"/>
      <c r="L47" s="52" t="s">
        <v>14</v>
      </c>
      <c r="M47" s="37"/>
      <c r="N47" s="80"/>
      <c r="O47" s="36">
        <v>3</v>
      </c>
      <c r="P47" s="36">
        <v>5</v>
      </c>
      <c r="Q47" s="125">
        <v>2</v>
      </c>
      <c r="R47" s="36"/>
      <c r="U47" s="36">
        <v>3</v>
      </c>
      <c r="V47" s="36">
        <v>5</v>
      </c>
      <c r="W47" s="125">
        <v>2</v>
      </c>
      <c r="X47" s="36"/>
    </row>
    <row r="48" ht="28" customHeight="1" spans="1:24">
      <c r="A48" s="17" t="s">
        <v>99</v>
      </c>
      <c r="B48" s="18" t="s">
        <v>100</v>
      </c>
      <c r="C48" s="19"/>
      <c r="D48" s="19"/>
      <c r="E48" s="19"/>
      <c r="F48" s="19"/>
      <c r="G48" s="20"/>
      <c r="H48" s="112"/>
      <c r="I48" s="114"/>
      <c r="J48" s="112"/>
      <c r="K48" s="114"/>
      <c r="L48" s="52" t="s">
        <v>14</v>
      </c>
      <c r="M48" s="37"/>
      <c r="N48" s="80"/>
      <c r="O48" s="36">
        <v>1</v>
      </c>
      <c r="P48" s="36">
        <v>2</v>
      </c>
      <c r="Q48" s="55">
        <v>1</v>
      </c>
      <c r="R48" s="36"/>
      <c r="U48" s="36">
        <v>1</v>
      </c>
      <c r="V48" s="36">
        <v>2</v>
      </c>
      <c r="W48" s="55">
        <v>1</v>
      </c>
      <c r="X48" s="36"/>
    </row>
    <row r="49" ht="18" customHeight="1" spans="1:24">
      <c r="A49" s="42"/>
      <c r="B49" s="18" t="s">
        <v>101</v>
      </c>
      <c r="C49" s="19"/>
      <c r="D49" s="19"/>
      <c r="E49" s="19"/>
      <c r="F49" s="19"/>
      <c r="G49" s="20"/>
      <c r="H49" s="112"/>
      <c r="I49" s="114"/>
      <c r="J49" s="112"/>
      <c r="K49" s="114"/>
      <c r="L49" s="52" t="s">
        <v>14</v>
      </c>
      <c r="M49" s="37"/>
      <c r="N49" s="80"/>
      <c r="O49" s="36">
        <v>0</v>
      </c>
      <c r="P49" s="36">
        <v>5</v>
      </c>
      <c r="Q49" s="60"/>
      <c r="R49" s="36"/>
      <c r="U49" s="36">
        <v>0</v>
      </c>
      <c r="V49" s="36">
        <v>5</v>
      </c>
      <c r="W49" s="60"/>
      <c r="X49" s="36"/>
    </row>
    <row r="50" ht="18" customHeight="1" spans="1:24">
      <c r="A50" s="121" t="s">
        <v>102</v>
      </c>
      <c r="B50" s="126" t="s">
        <v>103</v>
      </c>
      <c r="C50" s="127"/>
      <c r="D50" s="127"/>
      <c r="E50" s="127"/>
      <c r="F50" s="127"/>
      <c r="G50" s="128"/>
      <c r="H50" s="78"/>
      <c r="I50" s="79"/>
      <c r="J50" s="52"/>
      <c r="K50" s="52"/>
      <c r="L50" s="78" t="s">
        <v>15</v>
      </c>
      <c r="M50" s="79"/>
      <c r="N50" s="80"/>
      <c r="O50" s="36"/>
      <c r="P50" s="36"/>
      <c r="Q50" s="68"/>
      <c r="R50" s="36">
        <v>5</v>
      </c>
      <c r="U50" s="36"/>
      <c r="V50" s="36"/>
      <c r="W50" s="68"/>
      <c r="X50" s="36">
        <v>5</v>
      </c>
    </row>
    <row r="51" ht="49" customHeight="1" spans="1:24">
      <c r="A51" s="129" t="s">
        <v>104</v>
      </c>
      <c r="B51" s="126" t="s">
        <v>105</v>
      </c>
      <c r="C51" s="127"/>
      <c r="D51" s="127"/>
      <c r="E51" s="127"/>
      <c r="F51" s="127"/>
      <c r="G51" s="128"/>
      <c r="H51" s="78"/>
      <c r="I51" s="79"/>
      <c r="J51" s="52"/>
      <c r="K51" s="52"/>
      <c r="L51" s="78" t="s">
        <v>15</v>
      </c>
      <c r="M51" s="79"/>
      <c r="N51" s="80"/>
      <c r="O51" s="36"/>
      <c r="P51" s="36"/>
      <c r="Q51" s="68"/>
      <c r="R51" s="36">
        <v>5</v>
      </c>
      <c r="U51" s="36"/>
      <c r="V51" s="36"/>
      <c r="W51" s="68"/>
      <c r="X51" s="36">
        <v>5</v>
      </c>
    </row>
    <row r="52" ht="18" customHeight="1" spans="1:24">
      <c r="A52" s="130" t="s">
        <v>106</v>
      </c>
      <c r="B52" s="130"/>
      <c r="C52" s="130"/>
      <c r="D52" s="130"/>
      <c r="E52" s="130"/>
      <c r="F52" s="130"/>
      <c r="G52" s="130"/>
      <c r="H52" s="130"/>
      <c r="I52" s="130"/>
      <c r="J52" s="130"/>
      <c r="K52" s="130"/>
      <c r="L52" s="130"/>
      <c r="M52" s="130"/>
      <c r="N52" s="130"/>
      <c r="O52" s="36">
        <f>SUM(O6:O51)</f>
        <v>135</v>
      </c>
      <c r="P52" s="36">
        <f t="shared" ref="P52:X52" si="0">SUM(P6:P51)</f>
        <v>204</v>
      </c>
      <c r="Q52" s="36">
        <f t="shared" si="0"/>
        <v>54</v>
      </c>
      <c r="R52" s="36">
        <f t="shared" si="0"/>
        <v>91</v>
      </c>
      <c r="U52" s="36">
        <f t="shared" si="0"/>
        <v>127</v>
      </c>
      <c r="V52" s="36">
        <f t="shared" si="0"/>
        <v>162</v>
      </c>
      <c r="W52" s="36">
        <f t="shared" si="0"/>
        <v>47</v>
      </c>
      <c r="X52" s="36">
        <f t="shared" si="0"/>
        <v>73</v>
      </c>
    </row>
    <row r="53" ht="18" customHeight="1" spans="1:24">
      <c r="A53" s="130" t="s">
        <v>107</v>
      </c>
      <c r="B53" s="130"/>
      <c r="C53" s="130"/>
      <c r="D53" s="130"/>
      <c r="E53" s="130"/>
      <c r="F53" s="130"/>
      <c r="G53" s="130"/>
      <c r="H53" s="130"/>
      <c r="I53" s="130"/>
      <c r="J53" s="130"/>
      <c r="K53" s="130"/>
      <c r="L53" s="130"/>
      <c r="M53" s="130"/>
      <c r="N53" s="130"/>
      <c r="O53" s="68">
        <f>SUM(O52:Q52)</f>
        <v>393</v>
      </c>
      <c r="P53" s="68"/>
      <c r="Q53" s="68"/>
      <c r="R53" s="36">
        <f>SUM(R52:R52)</f>
        <v>91</v>
      </c>
      <c r="U53" s="68">
        <f>SUM(U52:W52)</f>
        <v>336</v>
      </c>
      <c r="V53" s="68"/>
      <c r="W53" s="68"/>
      <c r="X53" s="36">
        <f>SUM(X52:X52)</f>
        <v>73</v>
      </c>
    </row>
    <row r="54" spans="1:24">
      <c r="H54" s="71"/>
      <c r="I54" s="71"/>
      <c r="J54" s="71"/>
      <c r="K54" s="71"/>
      <c r="L54" s="71"/>
      <c r="M54" s="131"/>
    </row>
    <row r="55" spans="1:24">
      <c r="H55" s="71"/>
      <c r="I55" s="71"/>
      <c r="J55" s="71"/>
      <c r="K55" s="71"/>
      <c r="L55" s="71"/>
      <c r="M55" s="131"/>
    </row>
    <row r="56" spans="1:24">
      <c r="A56" s="72" t="s">
        <v>108</v>
      </c>
      <c r="H56" s="71"/>
      <c r="I56" s="71"/>
      <c r="J56" s="71"/>
      <c r="K56" s="71"/>
      <c r="L56" s="71"/>
      <c r="M56" s="131"/>
    </row>
    <row r="57" spans="1:24">
      <c r="A57" s="121" t="s">
        <v>109</v>
      </c>
      <c r="B57" s="43" t="s">
        <v>110</v>
      </c>
      <c r="C57" s="43"/>
      <c r="D57" s="43"/>
      <c r="E57" s="43"/>
      <c r="F57" s="43"/>
      <c r="G57" s="43"/>
      <c r="H57" s="52"/>
      <c r="I57" s="52"/>
      <c r="J57" s="52"/>
      <c r="K57" s="52"/>
      <c r="L57" s="52"/>
      <c r="M57" s="37"/>
      <c r="N57" s="80"/>
      <c r="O57" s="36"/>
      <c r="P57" s="36"/>
      <c r="Q57" s="36"/>
      <c r="R57" s="36">
        <v>1</v>
      </c>
    </row>
    <row r="58" spans="1:24">
      <c r="A58" s="121"/>
      <c r="B58" s="43" t="s">
        <v>111</v>
      </c>
      <c r="C58" s="43"/>
      <c r="D58" s="43"/>
      <c r="E58" s="43"/>
      <c r="F58" s="43"/>
      <c r="G58" s="43"/>
      <c r="H58" s="52"/>
      <c r="I58" s="52"/>
      <c r="J58" s="52"/>
      <c r="K58" s="52"/>
      <c r="L58" s="52"/>
      <c r="M58" s="37"/>
      <c r="N58" s="80"/>
      <c r="O58" s="36"/>
      <c r="P58" s="36"/>
      <c r="Q58" s="36"/>
      <c r="R58" s="36">
        <v>3</v>
      </c>
    </row>
    <row r="59" spans="1:24">
      <c r="A59" s="121"/>
      <c r="B59" s="43" t="s">
        <v>112</v>
      </c>
      <c r="C59" s="43"/>
      <c r="D59" s="43"/>
      <c r="E59" s="43"/>
      <c r="F59" s="43"/>
      <c r="G59" s="43"/>
      <c r="H59" s="52"/>
      <c r="I59" s="52"/>
      <c r="J59" s="52"/>
      <c r="K59" s="52"/>
      <c r="L59" s="52"/>
      <c r="M59" s="37"/>
      <c r="N59" s="80"/>
      <c r="O59" s="36"/>
      <c r="P59" s="36"/>
      <c r="Q59" s="36"/>
      <c r="R59" s="36">
        <v>1</v>
      </c>
    </row>
    <row r="60" spans="1:24">
      <c r="A60" s="121"/>
      <c r="B60" s="43" t="s">
        <v>113</v>
      </c>
      <c r="C60" s="43"/>
      <c r="D60" s="43"/>
      <c r="E60" s="43"/>
      <c r="F60" s="43"/>
      <c r="G60" s="43"/>
      <c r="H60" s="52"/>
      <c r="I60" s="52"/>
      <c r="J60" s="52"/>
      <c r="K60" s="52"/>
      <c r="L60" s="52"/>
      <c r="M60" s="37"/>
      <c r="N60" s="80"/>
      <c r="O60" s="36"/>
      <c r="P60" s="36"/>
      <c r="Q60" s="36"/>
      <c r="R60" s="36"/>
    </row>
    <row r="61" spans="1:24">
      <c r="A61" s="121"/>
      <c r="B61" s="43" t="s">
        <v>114</v>
      </c>
      <c r="C61" s="43"/>
      <c r="D61" s="43"/>
      <c r="E61" s="43"/>
      <c r="F61" s="43"/>
      <c r="G61" s="43"/>
      <c r="H61" s="52"/>
      <c r="I61" s="52"/>
      <c r="J61" s="52"/>
      <c r="K61" s="52"/>
      <c r="L61" s="52"/>
      <c r="M61" s="37"/>
      <c r="N61" s="80"/>
      <c r="O61" s="36"/>
      <c r="P61" s="36"/>
      <c r="Q61" s="36"/>
      <c r="R61" s="36">
        <v>0.5</v>
      </c>
    </row>
    <row r="62" spans="1:24">
      <c r="A62" s="121"/>
      <c r="B62" s="43" t="s">
        <v>115</v>
      </c>
      <c r="C62" s="43"/>
      <c r="D62" s="43"/>
      <c r="E62" s="43"/>
      <c r="F62" s="43"/>
      <c r="G62" s="43"/>
      <c r="H62" s="52"/>
      <c r="I62" s="52"/>
      <c r="J62" s="52"/>
      <c r="K62" s="52"/>
      <c r="L62" s="52"/>
      <c r="M62" s="37"/>
      <c r="N62" s="80"/>
      <c r="O62" s="36"/>
      <c r="P62" s="36"/>
      <c r="Q62" s="36"/>
      <c r="R62" s="36">
        <v>1</v>
      </c>
    </row>
    <row r="63" spans="1:24">
      <c r="A63" s="121"/>
      <c r="B63" s="43" t="s">
        <v>116</v>
      </c>
      <c r="C63" s="43"/>
      <c r="D63" s="43"/>
      <c r="E63" s="43"/>
      <c r="F63" s="43"/>
      <c r="G63" s="43"/>
      <c r="H63" s="52"/>
      <c r="I63" s="52"/>
      <c r="J63" s="52"/>
      <c r="K63" s="52"/>
      <c r="L63" s="52"/>
      <c r="M63" s="37"/>
      <c r="N63" s="80"/>
      <c r="O63" s="36"/>
      <c r="P63" s="36"/>
      <c r="Q63" s="36"/>
      <c r="R63" s="36">
        <v>1</v>
      </c>
    </row>
    <row r="64" spans="1:24">
      <c r="A64" s="121"/>
      <c r="B64" s="43" t="s">
        <v>117</v>
      </c>
      <c r="C64" s="43"/>
      <c r="D64" s="43"/>
      <c r="E64" s="43"/>
      <c r="F64" s="43"/>
      <c r="G64" s="43"/>
      <c r="H64" s="52"/>
      <c r="I64" s="52"/>
      <c r="J64" s="52"/>
      <c r="K64" s="52"/>
      <c r="L64" s="52"/>
      <c r="M64" s="37"/>
      <c r="N64" s="80"/>
      <c r="O64" s="36"/>
      <c r="P64" s="36"/>
      <c r="Q64" s="36"/>
      <c r="R64" s="36">
        <v>6</v>
      </c>
    </row>
    <row r="65" spans="1:18">
      <c r="A65" s="121"/>
      <c r="B65" s="43" t="s">
        <v>118</v>
      </c>
      <c r="C65" s="43"/>
      <c r="D65" s="43"/>
      <c r="E65" s="43"/>
      <c r="F65" s="43"/>
      <c r="G65" s="43"/>
      <c r="H65" s="52"/>
      <c r="I65" s="52"/>
      <c r="J65" s="52"/>
      <c r="K65" s="52"/>
      <c r="L65" s="52"/>
      <c r="M65" s="37"/>
      <c r="N65" s="80"/>
      <c r="O65" s="36"/>
      <c r="P65" s="36"/>
      <c r="Q65" s="36"/>
      <c r="R65" s="36">
        <v>1</v>
      </c>
    </row>
    <row r="66" spans="1:18">
      <c r="A66" s="121"/>
      <c r="B66" s="43" t="s">
        <v>119</v>
      </c>
      <c r="C66" s="43"/>
      <c r="D66" s="43"/>
      <c r="E66" s="43"/>
      <c r="F66" s="43"/>
      <c r="G66" s="43"/>
      <c r="H66" s="52"/>
      <c r="I66" s="52"/>
      <c r="J66" s="52"/>
      <c r="K66" s="52"/>
      <c r="L66" s="52"/>
      <c r="M66" s="37"/>
      <c r="N66" s="80"/>
      <c r="O66" s="36"/>
      <c r="P66" s="36"/>
      <c r="Q66" s="36"/>
      <c r="R66" s="36">
        <v>2</v>
      </c>
    </row>
    <row r="67" spans="1:18">
      <c r="A67" s="121"/>
      <c r="B67" s="43" t="s">
        <v>120</v>
      </c>
      <c r="C67" s="43"/>
      <c r="D67" s="43"/>
      <c r="E67" s="43"/>
      <c r="F67" s="43"/>
      <c r="G67" s="43"/>
      <c r="H67" s="52"/>
      <c r="I67" s="52"/>
      <c r="J67" s="52"/>
      <c r="K67" s="52"/>
      <c r="L67" s="52"/>
      <c r="M67" s="37"/>
      <c r="N67" s="80"/>
      <c r="O67" s="36"/>
      <c r="P67" s="36"/>
      <c r="Q67" s="36"/>
      <c r="R67" s="36">
        <v>1</v>
      </c>
    </row>
    <row r="68" spans="1:18">
      <c r="A68" s="121"/>
      <c r="B68" s="43" t="s">
        <v>121</v>
      </c>
      <c r="C68" s="43"/>
      <c r="D68" s="43"/>
      <c r="E68" s="43"/>
      <c r="F68" s="43"/>
      <c r="G68" s="43"/>
      <c r="H68" s="52"/>
      <c r="I68" s="52"/>
      <c r="J68" s="52"/>
      <c r="K68" s="52"/>
      <c r="L68" s="52"/>
      <c r="M68" s="37"/>
      <c r="N68" s="80"/>
      <c r="O68" s="36"/>
      <c r="P68" s="36"/>
      <c r="Q68" s="36"/>
      <c r="R68" s="36">
        <v>1</v>
      </c>
    </row>
    <row r="69" spans="1:18">
      <c r="A69" s="121"/>
      <c r="B69" s="43" t="s">
        <v>122</v>
      </c>
      <c r="C69" s="43"/>
      <c r="D69" s="43"/>
      <c r="E69" s="43"/>
      <c r="F69" s="43"/>
      <c r="G69" s="43"/>
      <c r="H69" s="52"/>
      <c r="I69" s="52"/>
      <c r="J69" s="52"/>
      <c r="K69" s="52"/>
      <c r="L69" s="52"/>
      <c r="M69" s="37"/>
      <c r="N69" s="80"/>
      <c r="O69" s="36"/>
      <c r="P69" s="36"/>
      <c r="Q69" s="36"/>
      <c r="R69" s="36">
        <v>1</v>
      </c>
    </row>
    <row r="70" spans="1:18">
      <c r="A70" s="121"/>
      <c r="B70" s="43" t="s">
        <v>123</v>
      </c>
      <c r="C70" s="43"/>
      <c r="D70" s="43"/>
      <c r="E70" s="43"/>
      <c r="F70" s="43"/>
      <c r="G70" s="43"/>
      <c r="H70" s="52"/>
      <c r="I70" s="52"/>
      <c r="J70" s="52"/>
      <c r="K70" s="52"/>
      <c r="L70" s="52"/>
      <c r="M70" s="37"/>
      <c r="N70" s="80"/>
      <c r="O70" s="36"/>
      <c r="P70" s="36"/>
      <c r="Q70" s="36"/>
      <c r="R70" s="36">
        <v>1</v>
      </c>
    </row>
    <row r="71" spans="1:18">
      <c r="A71" s="121"/>
      <c r="B71" s="43" t="s">
        <v>124</v>
      </c>
      <c r="C71" s="43"/>
      <c r="D71" s="43"/>
      <c r="E71" s="43"/>
      <c r="F71" s="43"/>
      <c r="G71" s="43"/>
      <c r="H71" s="52"/>
      <c r="I71" s="52"/>
      <c r="J71" s="52"/>
      <c r="K71" s="52"/>
      <c r="L71" s="52"/>
      <c r="M71" s="37"/>
      <c r="N71" s="80"/>
      <c r="O71" s="36"/>
      <c r="P71" s="36"/>
      <c r="Q71" s="36"/>
      <c r="R71" s="36">
        <v>0.5</v>
      </c>
    </row>
    <row r="72" spans="1:18">
      <c r="A72" s="121"/>
      <c r="B72" s="43" t="s">
        <v>125</v>
      </c>
      <c r="C72" s="43"/>
      <c r="D72" s="43"/>
      <c r="E72" s="43"/>
      <c r="F72" s="43"/>
      <c r="G72" s="43"/>
      <c r="H72" s="52"/>
      <c r="I72" s="52"/>
      <c r="J72" s="52"/>
      <c r="K72" s="52"/>
      <c r="L72" s="52"/>
      <c r="M72" s="37"/>
      <c r="N72" s="80"/>
      <c r="O72" s="36"/>
      <c r="P72" s="36"/>
      <c r="Q72" s="36"/>
      <c r="R72" s="36">
        <v>0.5</v>
      </c>
    </row>
    <row r="73" spans="1:18">
      <c r="A73" s="121"/>
      <c r="B73" s="43" t="s">
        <v>126</v>
      </c>
      <c r="C73" s="43"/>
      <c r="D73" s="43"/>
      <c r="E73" s="43"/>
      <c r="F73" s="43"/>
      <c r="G73" s="43"/>
      <c r="H73" s="52"/>
      <c r="I73" s="52"/>
      <c r="J73" s="52"/>
      <c r="K73" s="52"/>
      <c r="L73" s="52"/>
      <c r="M73" s="37"/>
      <c r="N73" s="80"/>
      <c r="O73" s="36"/>
      <c r="P73" s="36"/>
      <c r="Q73" s="36"/>
      <c r="R73" s="36">
        <v>1</v>
      </c>
    </row>
    <row r="74" spans="1:18">
      <c r="A74" s="121"/>
      <c r="B74" s="43" t="s">
        <v>127</v>
      </c>
      <c r="C74" s="43"/>
      <c r="D74" s="43"/>
      <c r="E74" s="43"/>
      <c r="F74" s="43"/>
      <c r="G74" s="43"/>
      <c r="H74" s="52"/>
      <c r="I74" s="52"/>
      <c r="J74" s="52"/>
      <c r="K74" s="52"/>
      <c r="L74" s="52"/>
      <c r="M74" s="37"/>
      <c r="N74" s="80"/>
      <c r="O74" s="36"/>
      <c r="P74" s="36"/>
      <c r="Q74" s="36"/>
      <c r="R74" s="36">
        <v>1</v>
      </c>
    </row>
    <row r="75" spans="1:18">
      <c r="A75" s="121"/>
      <c r="B75" s="43" t="s">
        <v>128</v>
      </c>
      <c r="C75" s="43"/>
      <c r="D75" s="43"/>
      <c r="E75" s="43"/>
      <c r="F75" s="43"/>
      <c r="G75" s="43"/>
      <c r="H75" s="52"/>
      <c r="I75" s="52"/>
      <c r="J75" s="52"/>
      <c r="K75" s="52"/>
      <c r="L75" s="52"/>
      <c r="M75" s="37"/>
      <c r="N75" s="80"/>
      <c r="O75" s="36"/>
      <c r="P75" s="36"/>
      <c r="Q75" s="36"/>
      <c r="R75" s="36">
        <v>1</v>
      </c>
    </row>
    <row r="76" spans="1:18">
      <c r="A76" s="121"/>
      <c r="B76" s="43" t="s">
        <v>129</v>
      </c>
      <c r="C76" s="43"/>
      <c r="D76" s="43"/>
      <c r="E76" s="43"/>
      <c r="F76" s="43"/>
      <c r="G76" s="43"/>
      <c r="H76" s="52"/>
      <c r="I76" s="52"/>
      <c r="J76" s="52"/>
      <c r="K76" s="52"/>
      <c r="L76" s="52"/>
      <c r="M76" s="37"/>
      <c r="N76" s="80"/>
      <c r="O76" s="36"/>
      <c r="P76" s="36"/>
      <c r="Q76" s="36"/>
      <c r="R76" s="36">
        <v>1</v>
      </c>
    </row>
    <row r="77" spans="1:18">
      <c r="A77" s="121"/>
      <c r="B77" s="43" t="s">
        <v>130</v>
      </c>
      <c r="C77" s="43"/>
      <c r="D77" s="43"/>
      <c r="E77" s="43"/>
      <c r="F77" s="43"/>
      <c r="G77" s="43"/>
      <c r="H77" s="52"/>
      <c r="I77" s="52"/>
      <c r="J77" s="52"/>
      <c r="K77" s="52"/>
      <c r="L77" s="52"/>
      <c r="M77" s="37"/>
      <c r="N77" s="80"/>
      <c r="O77" s="36"/>
      <c r="P77" s="36"/>
      <c r="Q77" s="36"/>
      <c r="R77" s="36">
        <v>1</v>
      </c>
    </row>
    <row r="78" spans="1:18">
      <c r="A78" s="121"/>
      <c r="B78" s="43" t="s">
        <v>131</v>
      </c>
      <c r="C78" s="43"/>
      <c r="D78" s="43"/>
      <c r="E78" s="43"/>
      <c r="F78" s="43"/>
      <c r="G78" s="43"/>
      <c r="H78" s="52"/>
      <c r="I78" s="52"/>
      <c r="J78" s="52"/>
      <c r="K78" s="52"/>
      <c r="L78" s="52"/>
      <c r="M78" s="37"/>
      <c r="N78" s="80"/>
      <c r="O78" s="36"/>
      <c r="P78" s="36"/>
      <c r="Q78" s="36"/>
      <c r="R78" s="36">
        <v>2</v>
      </c>
    </row>
    <row r="79" spans="1:18">
      <c r="A79" s="121"/>
      <c r="B79" s="43" t="s">
        <v>132</v>
      </c>
      <c r="C79" s="43"/>
      <c r="D79" s="43"/>
      <c r="E79" s="43"/>
      <c r="F79" s="43"/>
      <c r="G79" s="43"/>
      <c r="H79" s="52"/>
      <c r="I79" s="52"/>
      <c r="J79" s="52"/>
      <c r="K79" s="52"/>
      <c r="L79" s="52"/>
      <c r="M79" s="37"/>
      <c r="N79" s="80"/>
      <c r="O79" s="36"/>
      <c r="P79" s="36"/>
      <c r="Q79" s="36"/>
      <c r="R79" s="36">
        <v>1</v>
      </c>
    </row>
    <row r="80" spans="1:18">
      <c r="A80" s="121"/>
      <c r="B80" s="43" t="s">
        <v>133</v>
      </c>
      <c r="C80" s="43"/>
      <c r="D80" s="43"/>
      <c r="E80" s="43"/>
      <c r="F80" s="43"/>
      <c r="G80" s="43"/>
      <c r="H80" s="52"/>
      <c r="I80" s="52"/>
      <c r="J80" s="52"/>
      <c r="K80" s="52"/>
      <c r="L80" s="52"/>
      <c r="M80" s="37"/>
      <c r="N80" s="80"/>
      <c r="O80" s="36"/>
      <c r="P80" s="36"/>
      <c r="Q80" s="36"/>
      <c r="R80" s="36">
        <v>1</v>
      </c>
    </row>
    <row r="81" spans="1:18">
      <c r="A81" s="121"/>
      <c r="B81" s="43" t="s">
        <v>134</v>
      </c>
      <c r="C81" s="43"/>
      <c r="D81" s="43"/>
      <c r="E81" s="43"/>
      <c r="F81" s="43"/>
      <c r="G81" s="43"/>
      <c r="H81" s="52"/>
      <c r="I81" s="52"/>
      <c r="J81" s="52"/>
      <c r="K81" s="52"/>
      <c r="L81" s="52"/>
      <c r="M81" s="37"/>
      <c r="N81" s="80"/>
      <c r="O81" s="36"/>
      <c r="P81" s="36"/>
      <c r="Q81" s="36"/>
      <c r="R81" s="36">
        <v>6</v>
      </c>
    </row>
    <row r="82" spans="1:18">
      <c r="A82" s="121"/>
      <c r="B82" s="43" t="s">
        <v>135</v>
      </c>
      <c r="C82" s="43"/>
      <c r="D82" s="43"/>
      <c r="E82" s="43"/>
      <c r="F82" s="43"/>
      <c r="G82" s="43"/>
      <c r="H82" s="52"/>
      <c r="I82" s="52"/>
      <c r="J82" s="52"/>
      <c r="K82" s="52"/>
      <c r="L82" s="52"/>
      <c r="M82" s="37"/>
      <c r="N82" s="80"/>
      <c r="O82" s="36"/>
      <c r="P82" s="36"/>
      <c r="Q82" s="36"/>
      <c r="R82" s="36">
        <v>1</v>
      </c>
    </row>
    <row r="83" spans="1:18">
      <c r="A83" s="121"/>
      <c r="B83" s="43" t="s">
        <v>136</v>
      </c>
      <c r="C83" s="43"/>
      <c r="D83" s="43"/>
      <c r="E83" s="43"/>
      <c r="F83" s="43"/>
      <c r="G83" s="43"/>
      <c r="H83" s="52"/>
      <c r="I83" s="52"/>
      <c r="J83" s="52"/>
      <c r="K83" s="52"/>
      <c r="L83" s="52"/>
      <c r="M83" s="37"/>
      <c r="N83" s="80"/>
      <c r="O83" s="36"/>
      <c r="P83" s="36"/>
      <c r="Q83" s="36"/>
      <c r="R83" s="36">
        <v>6</v>
      </c>
    </row>
    <row r="84" spans="1:18">
      <c r="A84" s="121"/>
      <c r="B84" s="43" t="s">
        <v>137</v>
      </c>
      <c r="C84" s="43"/>
      <c r="D84" s="43"/>
      <c r="E84" s="43"/>
      <c r="F84" s="43"/>
      <c r="G84" s="43"/>
      <c r="H84" s="52"/>
      <c r="I84" s="52"/>
      <c r="J84" s="52"/>
      <c r="K84" s="52"/>
      <c r="L84" s="52"/>
      <c r="M84" s="37"/>
      <c r="N84" s="80"/>
      <c r="O84" s="36"/>
      <c r="P84" s="36"/>
      <c r="Q84" s="36"/>
      <c r="R84" s="36">
        <v>1</v>
      </c>
    </row>
    <row r="85" spans="1:18">
      <c r="A85" s="121"/>
      <c r="B85" s="43" t="s">
        <v>138</v>
      </c>
      <c r="C85" s="43"/>
      <c r="D85" s="43"/>
      <c r="E85" s="43"/>
      <c r="F85" s="43"/>
      <c r="G85" s="43"/>
      <c r="H85" s="52"/>
      <c r="I85" s="52"/>
      <c r="J85" s="52"/>
      <c r="K85" s="52"/>
      <c r="L85" s="52"/>
      <c r="M85" s="37"/>
      <c r="N85" s="80"/>
      <c r="O85" s="36"/>
      <c r="P85" s="36"/>
      <c r="Q85" s="36"/>
      <c r="R85" s="36">
        <v>8</v>
      </c>
    </row>
    <row r="86" spans="1:18">
      <c r="A86" s="121"/>
      <c r="B86" s="43" t="s">
        <v>139</v>
      </c>
      <c r="C86" s="43"/>
      <c r="D86" s="43"/>
      <c r="E86" s="43"/>
      <c r="F86" s="43"/>
      <c r="G86" s="43"/>
      <c r="H86" s="52"/>
      <c r="I86" s="52"/>
      <c r="J86" s="52"/>
      <c r="K86" s="52"/>
      <c r="L86" s="52"/>
      <c r="M86" s="37"/>
      <c r="N86" s="80"/>
      <c r="O86" s="36"/>
      <c r="P86" s="36"/>
      <c r="Q86" s="36"/>
      <c r="R86" s="36">
        <v>1</v>
      </c>
    </row>
    <row r="87" spans="1:18">
      <c r="A87" s="121"/>
      <c r="B87" s="43" t="s">
        <v>140</v>
      </c>
      <c r="C87" s="43"/>
      <c r="D87" s="43"/>
      <c r="E87" s="43"/>
      <c r="F87" s="43"/>
      <c r="G87" s="43"/>
      <c r="H87" s="52"/>
      <c r="I87" s="52"/>
      <c r="J87" s="52"/>
      <c r="K87" s="52"/>
      <c r="L87" s="52"/>
      <c r="M87" s="37"/>
      <c r="N87" s="80"/>
      <c r="O87" s="36"/>
      <c r="P87" s="36"/>
      <c r="Q87" s="36"/>
      <c r="R87" s="36">
        <v>3</v>
      </c>
    </row>
    <row r="88" spans="1:18">
      <c r="A88" s="121"/>
      <c r="B88" s="43" t="s">
        <v>141</v>
      </c>
      <c r="C88" s="43"/>
      <c r="D88" s="43"/>
      <c r="E88" s="43"/>
      <c r="F88" s="43"/>
      <c r="G88" s="43"/>
      <c r="H88" s="52"/>
      <c r="I88" s="52"/>
      <c r="J88" s="52"/>
      <c r="K88" s="52"/>
      <c r="L88" s="52"/>
      <c r="M88" s="37"/>
      <c r="N88" s="80"/>
      <c r="O88" s="36"/>
      <c r="P88" s="36"/>
      <c r="Q88" s="36"/>
      <c r="R88" s="36">
        <v>1</v>
      </c>
    </row>
    <row r="89" spans="1:18">
      <c r="A89" s="121"/>
      <c r="B89" s="43" t="s">
        <v>142</v>
      </c>
      <c r="C89" s="43"/>
      <c r="D89" s="43"/>
      <c r="E89" s="43"/>
      <c r="F89" s="43"/>
      <c r="G89" s="43"/>
      <c r="H89" s="52"/>
      <c r="I89" s="52"/>
      <c r="J89" s="52"/>
      <c r="K89" s="52"/>
      <c r="L89" s="52"/>
      <c r="M89" s="37"/>
      <c r="N89" s="80"/>
      <c r="O89" s="36"/>
      <c r="P89" s="36"/>
      <c r="Q89" s="36"/>
      <c r="R89" s="36">
        <v>2</v>
      </c>
    </row>
    <row r="90" spans="1:18">
      <c r="A90" s="52"/>
      <c r="B90" s="44"/>
      <c r="C90" s="44"/>
      <c r="D90" s="44"/>
      <c r="E90" s="44"/>
      <c r="F90" s="44"/>
      <c r="G90" s="44"/>
      <c r="H90" s="52"/>
      <c r="I90" s="52"/>
      <c r="J90" s="52"/>
      <c r="K90" s="52"/>
      <c r="L90" s="52"/>
      <c r="M90" s="37"/>
      <c r="N90" s="80"/>
      <c r="O90" s="36"/>
      <c r="P90" s="36"/>
      <c r="Q90" s="36" t="s">
        <v>5</v>
      </c>
      <c r="R90" s="36">
        <f>SUM(R57:R89)</f>
        <v>59.5</v>
      </c>
    </row>
    <row r="93" ht="18" customHeight="1" spans="1:18">
      <c r="A93" s="132" t="s">
        <v>143</v>
      </c>
      <c r="B93" s="126" t="s">
        <v>144</v>
      </c>
      <c r="C93" s="127"/>
      <c r="D93" s="127"/>
      <c r="E93" s="127"/>
      <c r="F93" s="127"/>
      <c r="G93" s="128"/>
      <c r="H93" s="78"/>
      <c r="I93" s="79"/>
      <c r="J93" s="52"/>
      <c r="K93" s="52"/>
      <c r="L93" s="78" t="s">
        <v>15</v>
      </c>
      <c r="M93" s="79"/>
      <c r="N93" s="80"/>
      <c r="O93" s="36"/>
      <c r="P93" s="36"/>
      <c r="Q93" s="133"/>
      <c r="R93" s="36">
        <v>1</v>
      </c>
    </row>
    <row r="94" ht="18" customHeight="1" spans="1:18">
      <c r="A94" s="134"/>
      <c r="B94" s="126" t="s">
        <v>110</v>
      </c>
      <c r="C94" s="127"/>
      <c r="D94" s="127"/>
      <c r="E94" s="127"/>
      <c r="F94" s="127"/>
      <c r="G94" s="128"/>
      <c r="H94" s="78"/>
      <c r="I94" s="79"/>
      <c r="J94" s="52"/>
      <c r="K94" s="52"/>
      <c r="L94" s="78" t="s">
        <v>15</v>
      </c>
      <c r="M94" s="79"/>
      <c r="N94" s="80"/>
      <c r="O94" s="36"/>
      <c r="P94" s="36"/>
      <c r="Q94" s="133"/>
      <c r="R94" s="36">
        <v>2</v>
      </c>
    </row>
    <row r="95" ht="18" customHeight="1" spans="1:18">
      <c r="A95" s="134"/>
      <c r="B95" s="126" t="s">
        <v>111</v>
      </c>
      <c r="C95" s="127"/>
      <c r="D95" s="127"/>
      <c r="E95" s="127"/>
      <c r="F95" s="127"/>
      <c r="G95" s="128"/>
      <c r="H95" s="78"/>
      <c r="I95" s="79"/>
      <c r="J95" s="52"/>
      <c r="K95" s="52"/>
      <c r="L95" s="78" t="s">
        <v>15</v>
      </c>
      <c r="M95" s="79"/>
      <c r="N95" s="80"/>
      <c r="O95" s="36"/>
      <c r="P95" s="36"/>
      <c r="Q95" s="133"/>
      <c r="R95" s="36">
        <v>2</v>
      </c>
    </row>
    <row r="96" ht="18" customHeight="1" spans="1:18">
      <c r="A96" s="134"/>
      <c r="B96" s="126" t="s">
        <v>112</v>
      </c>
      <c r="C96" s="127"/>
      <c r="D96" s="127"/>
      <c r="E96" s="127"/>
      <c r="F96" s="127"/>
      <c r="G96" s="128"/>
      <c r="H96" s="78"/>
      <c r="I96" s="79"/>
      <c r="J96" s="52"/>
      <c r="K96" s="52"/>
      <c r="L96" s="78" t="s">
        <v>15</v>
      </c>
      <c r="M96" s="79"/>
      <c r="N96" s="80"/>
      <c r="O96" s="36"/>
      <c r="P96" s="36"/>
      <c r="Q96" s="133"/>
      <c r="R96" s="36">
        <v>1</v>
      </c>
    </row>
    <row r="97" ht="34" customHeight="1" spans="1:18">
      <c r="A97" s="134"/>
      <c r="B97" s="126" t="s">
        <v>145</v>
      </c>
      <c r="C97" s="127"/>
      <c r="D97" s="127"/>
      <c r="E97" s="127"/>
      <c r="F97" s="127"/>
      <c r="G97" s="128"/>
      <c r="H97" s="78"/>
      <c r="I97" s="79"/>
      <c r="J97" s="52"/>
      <c r="K97" s="52"/>
      <c r="L97" s="78" t="s">
        <v>15</v>
      </c>
      <c r="M97" s="79"/>
      <c r="N97" s="80"/>
      <c r="O97" s="36"/>
      <c r="P97" s="36"/>
      <c r="Q97" s="133"/>
      <c r="R97" s="36">
        <v>2</v>
      </c>
    </row>
    <row r="98" ht="34" customHeight="1" spans="1:18">
      <c r="A98" s="134"/>
      <c r="B98" s="126" t="s">
        <v>146</v>
      </c>
      <c r="C98" s="127"/>
      <c r="D98" s="127"/>
      <c r="E98" s="127"/>
      <c r="F98" s="127"/>
      <c r="G98" s="128"/>
      <c r="H98" s="78"/>
      <c r="I98" s="79"/>
      <c r="J98" s="52"/>
      <c r="K98" s="52"/>
      <c r="L98" s="78" t="s">
        <v>15</v>
      </c>
      <c r="M98" s="79"/>
      <c r="N98" s="80"/>
      <c r="O98" s="36"/>
      <c r="P98" s="36"/>
      <c r="Q98" s="133"/>
      <c r="R98" s="36">
        <v>6</v>
      </c>
    </row>
    <row r="99" ht="33" customHeight="1" spans="1:18">
      <c r="A99" s="134"/>
      <c r="B99" s="126" t="s">
        <v>147</v>
      </c>
      <c r="C99" s="127"/>
      <c r="D99" s="127"/>
      <c r="E99" s="127"/>
      <c r="F99" s="127"/>
      <c r="G99" s="128"/>
      <c r="H99" s="78"/>
      <c r="I99" s="79"/>
      <c r="J99" s="52"/>
      <c r="K99" s="52"/>
      <c r="L99" s="78" t="s">
        <v>15</v>
      </c>
      <c r="M99" s="79"/>
      <c r="N99" s="80"/>
      <c r="O99" s="36"/>
      <c r="P99" s="36"/>
      <c r="Q99" s="133"/>
      <c r="R99" s="36">
        <v>2</v>
      </c>
    </row>
    <row r="100" ht="18" customHeight="1" spans="1:18">
      <c r="A100" s="134"/>
      <c r="B100" s="126" t="s">
        <v>148</v>
      </c>
      <c r="C100" s="127"/>
      <c r="D100" s="127"/>
      <c r="E100" s="127"/>
      <c r="F100" s="127"/>
      <c r="G100" s="128"/>
      <c r="H100" s="78"/>
      <c r="I100" s="79"/>
      <c r="J100" s="52"/>
      <c r="K100" s="52"/>
      <c r="L100" s="78" t="s">
        <v>15</v>
      </c>
      <c r="M100" s="79"/>
      <c r="N100" s="80"/>
      <c r="O100" s="36"/>
      <c r="P100" s="36"/>
      <c r="Q100" s="133"/>
      <c r="R100" s="36">
        <v>2</v>
      </c>
    </row>
    <row r="101" ht="18" customHeight="1" spans="1:18">
      <c r="A101" s="134"/>
      <c r="B101" s="126" t="s">
        <v>149</v>
      </c>
      <c r="C101" s="127"/>
      <c r="D101" s="127"/>
      <c r="E101" s="127"/>
      <c r="F101" s="127"/>
      <c r="G101" s="128"/>
      <c r="H101" s="78"/>
      <c r="I101" s="79"/>
      <c r="J101" s="52"/>
      <c r="K101" s="52"/>
      <c r="L101" s="78" t="s">
        <v>15</v>
      </c>
      <c r="M101" s="79"/>
      <c r="N101" s="80"/>
      <c r="O101" s="36"/>
      <c r="P101" s="36"/>
      <c r="Q101" s="133"/>
      <c r="R101" s="36">
        <v>2</v>
      </c>
    </row>
    <row r="102" ht="18" customHeight="1" spans="1:18">
      <c r="A102" s="134"/>
      <c r="B102" s="126" t="s">
        <v>150</v>
      </c>
      <c r="C102" s="127"/>
      <c r="D102" s="127"/>
      <c r="E102" s="127"/>
      <c r="F102" s="127"/>
      <c r="G102" s="128"/>
      <c r="H102" s="78"/>
      <c r="I102" s="79"/>
      <c r="J102" s="52"/>
      <c r="K102" s="52"/>
      <c r="L102" s="78" t="s">
        <v>15</v>
      </c>
      <c r="M102" s="79"/>
      <c r="N102" s="80"/>
      <c r="O102" s="36"/>
      <c r="P102" s="36"/>
      <c r="Q102" s="133"/>
      <c r="R102" s="36">
        <v>1</v>
      </c>
    </row>
    <row r="103" ht="18" customHeight="1" spans="1:18">
      <c r="A103" s="134"/>
      <c r="B103" s="126" t="s">
        <v>151</v>
      </c>
      <c r="C103" s="127"/>
      <c r="D103" s="127"/>
      <c r="E103" s="127"/>
      <c r="F103" s="127"/>
      <c r="G103" s="128"/>
      <c r="H103" s="78"/>
      <c r="I103" s="79"/>
      <c r="J103" s="52"/>
      <c r="K103" s="52"/>
      <c r="L103" s="78" t="s">
        <v>15</v>
      </c>
      <c r="M103" s="79"/>
      <c r="N103" s="80"/>
      <c r="O103" s="36"/>
      <c r="P103" s="36"/>
      <c r="Q103" s="133"/>
      <c r="R103" s="36">
        <v>2</v>
      </c>
    </row>
    <row r="104" ht="18" customHeight="1" spans="1:18">
      <c r="A104" s="134"/>
      <c r="B104" s="126" t="s">
        <v>128</v>
      </c>
      <c r="C104" s="127"/>
      <c r="D104" s="127"/>
      <c r="E104" s="127"/>
      <c r="F104" s="127"/>
      <c r="G104" s="128"/>
      <c r="H104" s="78"/>
      <c r="I104" s="79"/>
      <c r="J104" s="52"/>
      <c r="K104" s="52"/>
      <c r="L104" s="78" t="s">
        <v>15</v>
      </c>
      <c r="M104" s="79"/>
      <c r="N104" s="80"/>
      <c r="O104" s="36"/>
      <c r="P104" s="36"/>
      <c r="Q104" s="133"/>
      <c r="R104" s="36">
        <v>1</v>
      </c>
    </row>
    <row r="105" ht="18" customHeight="1" spans="1:18">
      <c r="A105" s="134"/>
      <c r="B105" s="126" t="s">
        <v>129</v>
      </c>
      <c r="C105" s="127"/>
      <c r="D105" s="127"/>
      <c r="E105" s="127"/>
      <c r="F105" s="127"/>
      <c r="G105" s="128"/>
      <c r="H105" s="78"/>
      <c r="I105" s="79"/>
      <c r="J105" s="52"/>
      <c r="K105" s="52"/>
      <c r="L105" s="78" t="s">
        <v>15</v>
      </c>
      <c r="M105" s="79"/>
      <c r="N105" s="80"/>
      <c r="O105" s="36"/>
      <c r="P105" s="36"/>
      <c r="Q105" s="133"/>
      <c r="R105" s="36">
        <v>1</v>
      </c>
    </row>
    <row r="106" ht="18" customHeight="1" spans="1:18">
      <c r="A106" s="134"/>
      <c r="B106" s="126" t="s">
        <v>152</v>
      </c>
      <c r="C106" s="127"/>
      <c r="D106" s="127"/>
      <c r="E106" s="127"/>
      <c r="F106" s="127"/>
      <c r="G106" s="128"/>
      <c r="H106" s="78"/>
      <c r="I106" s="79"/>
      <c r="J106" s="52"/>
      <c r="K106" s="52"/>
      <c r="L106" s="78" t="s">
        <v>15</v>
      </c>
      <c r="M106" s="79"/>
      <c r="N106" s="80"/>
      <c r="O106" s="36"/>
      <c r="P106" s="36"/>
      <c r="Q106" s="133"/>
      <c r="R106" s="36">
        <v>3</v>
      </c>
    </row>
    <row r="107" ht="18" customHeight="1" spans="1:18">
      <c r="A107" s="134"/>
      <c r="B107" s="126" t="s">
        <v>153</v>
      </c>
      <c r="C107" s="127"/>
      <c r="D107" s="127"/>
      <c r="E107" s="127"/>
      <c r="F107" s="127"/>
      <c r="G107" s="128"/>
      <c r="H107" s="78"/>
      <c r="I107" s="79"/>
      <c r="J107" s="52"/>
      <c r="K107" s="52"/>
      <c r="L107" s="78" t="s">
        <v>15</v>
      </c>
      <c r="M107" s="79"/>
      <c r="N107" s="80"/>
      <c r="O107" s="36"/>
      <c r="P107" s="36"/>
      <c r="Q107" s="133"/>
      <c r="R107" s="36">
        <v>2</v>
      </c>
    </row>
    <row r="108" ht="18" customHeight="1" spans="1:18">
      <c r="A108" s="134"/>
      <c r="B108" s="126" t="s">
        <v>134</v>
      </c>
      <c r="C108" s="127"/>
      <c r="D108" s="127"/>
      <c r="E108" s="127"/>
      <c r="F108" s="127"/>
      <c r="G108" s="128"/>
      <c r="H108" s="78"/>
      <c r="I108" s="79"/>
      <c r="J108" s="52"/>
      <c r="K108" s="52"/>
      <c r="L108" s="78" t="s">
        <v>15</v>
      </c>
      <c r="M108" s="79"/>
      <c r="N108" s="80"/>
      <c r="O108" s="36"/>
      <c r="P108" s="36"/>
      <c r="Q108" s="133"/>
      <c r="R108" s="36">
        <v>8</v>
      </c>
    </row>
    <row r="109" ht="18" customHeight="1" spans="1:18">
      <c r="A109" s="134"/>
      <c r="B109" s="126" t="s">
        <v>154</v>
      </c>
      <c r="C109" s="127"/>
      <c r="D109" s="127"/>
      <c r="E109" s="127"/>
      <c r="F109" s="127"/>
      <c r="G109" s="128"/>
      <c r="H109" s="78"/>
      <c r="I109" s="79"/>
      <c r="J109" s="52"/>
      <c r="K109" s="52"/>
      <c r="L109" s="78" t="s">
        <v>15</v>
      </c>
      <c r="M109" s="79"/>
      <c r="N109" s="80"/>
      <c r="O109" s="36"/>
      <c r="P109" s="36"/>
      <c r="Q109" s="133"/>
      <c r="R109" s="36">
        <v>8</v>
      </c>
    </row>
    <row r="110" ht="18" customHeight="1" spans="1:18">
      <c r="A110" s="134"/>
      <c r="B110" s="126" t="s">
        <v>155</v>
      </c>
      <c r="C110" s="127"/>
      <c r="D110" s="127"/>
      <c r="E110" s="127"/>
      <c r="F110" s="127"/>
      <c r="G110" s="128"/>
      <c r="H110" s="78"/>
      <c r="I110" s="79"/>
      <c r="J110" s="52"/>
      <c r="K110" s="52"/>
      <c r="L110" s="78" t="s">
        <v>15</v>
      </c>
      <c r="M110" s="79"/>
      <c r="N110" s="80"/>
      <c r="O110" s="36"/>
      <c r="P110" s="36"/>
      <c r="Q110" s="133"/>
      <c r="R110" s="36">
        <v>8</v>
      </c>
    </row>
    <row r="111" ht="18" customHeight="1" spans="1:18">
      <c r="A111" s="129"/>
      <c r="B111" s="126" t="s">
        <v>156</v>
      </c>
      <c r="C111" s="127"/>
      <c r="D111" s="127"/>
      <c r="E111" s="127"/>
      <c r="F111" s="127"/>
      <c r="G111" s="128"/>
      <c r="H111" s="78"/>
      <c r="I111" s="79"/>
      <c r="J111" s="52"/>
      <c r="K111" s="52"/>
      <c r="L111" s="78" t="s">
        <v>15</v>
      </c>
      <c r="M111" s="79"/>
      <c r="N111" s="80"/>
      <c r="O111" s="36"/>
      <c r="P111" s="36"/>
      <c r="Q111" s="133"/>
      <c r="R111" s="36">
        <v>5</v>
      </c>
    </row>
  </sheetData>
  <mergeCells count="452">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A52:N52"/>
    <mergeCell ref="A53:N53"/>
    <mergeCell ref="O53:Q53"/>
    <mergeCell ref="U53:W53"/>
    <mergeCell ref="B54:G54"/>
    <mergeCell ref="H54:I54"/>
    <mergeCell ref="J54:K54"/>
    <mergeCell ref="L54:M54"/>
    <mergeCell ref="B55:G55"/>
    <mergeCell ref="H55:I55"/>
    <mergeCell ref="J55:K55"/>
    <mergeCell ref="L55:M55"/>
    <mergeCell ref="A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B80:G80"/>
    <mergeCell ref="H80:I80"/>
    <mergeCell ref="J80:K80"/>
    <mergeCell ref="L80:M80"/>
    <mergeCell ref="B81:G81"/>
    <mergeCell ref="H81:I81"/>
    <mergeCell ref="J81:K81"/>
    <mergeCell ref="L81:M81"/>
    <mergeCell ref="B82:G82"/>
    <mergeCell ref="H82:I82"/>
    <mergeCell ref="J82:K82"/>
    <mergeCell ref="L82:M82"/>
    <mergeCell ref="B83:G83"/>
    <mergeCell ref="H83:I83"/>
    <mergeCell ref="J83:K83"/>
    <mergeCell ref="L83:M83"/>
    <mergeCell ref="B84:G84"/>
    <mergeCell ref="H84:I84"/>
    <mergeCell ref="J84:K84"/>
    <mergeCell ref="L84:M84"/>
    <mergeCell ref="B85:G85"/>
    <mergeCell ref="H85:I85"/>
    <mergeCell ref="J85:K85"/>
    <mergeCell ref="L85:M85"/>
    <mergeCell ref="B86:G86"/>
    <mergeCell ref="H86:I86"/>
    <mergeCell ref="J86:K86"/>
    <mergeCell ref="L86:M86"/>
    <mergeCell ref="B87:G87"/>
    <mergeCell ref="H87:I87"/>
    <mergeCell ref="J87:K87"/>
    <mergeCell ref="L87:M87"/>
    <mergeCell ref="B88:G88"/>
    <mergeCell ref="H88:I88"/>
    <mergeCell ref="J88:K88"/>
    <mergeCell ref="L88:M88"/>
    <mergeCell ref="B89:G89"/>
    <mergeCell ref="H89:I89"/>
    <mergeCell ref="J89:K89"/>
    <mergeCell ref="L89:M89"/>
    <mergeCell ref="B90:G90"/>
    <mergeCell ref="H90:I90"/>
    <mergeCell ref="J90:K90"/>
    <mergeCell ref="L90:M90"/>
    <mergeCell ref="B93:G93"/>
    <mergeCell ref="H93:I93"/>
    <mergeCell ref="J93:K93"/>
    <mergeCell ref="L93:M93"/>
    <mergeCell ref="B94:G94"/>
    <mergeCell ref="H94:I94"/>
    <mergeCell ref="J94:K94"/>
    <mergeCell ref="L94:M94"/>
    <mergeCell ref="B95:G95"/>
    <mergeCell ref="H95:I95"/>
    <mergeCell ref="J95:K95"/>
    <mergeCell ref="L95:M95"/>
    <mergeCell ref="B96:G96"/>
    <mergeCell ref="H96:I96"/>
    <mergeCell ref="J96:K96"/>
    <mergeCell ref="L96:M96"/>
    <mergeCell ref="B97:G97"/>
    <mergeCell ref="H97:I97"/>
    <mergeCell ref="J97:K97"/>
    <mergeCell ref="L97:M97"/>
    <mergeCell ref="B98:G98"/>
    <mergeCell ref="H98:I98"/>
    <mergeCell ref="J98:K98"/>
    <mergeCell ref="L98:M98"/>
    <mergeCell ref="B99:G99"/>
    <mergeCell ref="H99:I99"/>
    <mergeCell ref="J99:K99"/>
    <mergeCell ref="L99:M99"/>
    <mergeCell ref="B100:G100"/>
    <mergeCell ref="H100:I100"/>
    <mergeCell ref="J100:K100"/>
    <mergeCell ref="L100:M100"/>
    <mergeCell ref="B101:G101"/>
    <mergeCell ref="H101:I101"/>
    <mergeCell ref="J101:K101"/>
    <mergeCell ref="L101:M101"/>
    <mergeCell ref="B102:G102"/>
    <mergeCell ref="H102:I102"/>
    <mergeCell ref="J102:K102"/>
    <mergeCell ref="L102:M102"/>
    <mergeCell ref="B103:G103"/>
    <mergeCell ref="H103:I103"/>
    <mergeCell ref="J103:K103"/>
    <mergeCell ref="L103:M103"/>
    <mergeCell ref="B104:G104"/>
    <mergeCell ref="H104:I104"/>
    <mergeCell ref="J104:K104"/>
    <mergeCell ref="L104:M104"/>
    <mergeCell ref="B105:G105"/>
    <mergeCell ref="H105:I105"/>
    <mergeCell ref="J105:K105"/>
    <mergeCell ref="L105:M105"/>
    <mergeCell ref="B106:G106"/>
    <mergeCell ref="H106:I106"/>
    <mergeCell ref="J106:K106"/>
    <mergeCell ref="L106:M106"/>
    <mergeCell ref="B107:G107"/>
    <mergeCell ref="H107:I107"/>
    <mergeCell ref="J107:K107"/>
    <mergeCell ref="L107:M107"/>
    <mergeCell ref="B108:G108"/>
    <mergeCell ref="H108:I108"/>
    <mergeCell ref="J108:K108"/>
    <mergeCell ref="L108:M108"/>
    <mergeCell ref="B109:G109"/>
    <mergeCell ref="H109:I109"/>
    <mergeCell ref="J109:K109"/>
    <mergeCell ref="L109:M109"/>
    <mergeCell ref="B110:G110"/>
    <mergeCell ref="H110:I110"/>
    <mergeCell ref="J110:K110"/>
    <mergeCell ref="L110:M110"/>
    <mergeCell ref="B111:G111"/>
    <mergeCell ref="H111:I111"/>
    <mergeCell ref="J111:K111"/>
    <mergeCell ref="L111:M111"/>
    <mergeCell ref="A6:A12"/>
    <mergeCell ref="A15:A16"/>
    <mergeCell ref="A17:A28"/>
    <mergeCell ref="A29:A30"/>
    <mergeCell ref="A32:A34"/>
    <mergeCell ref="A38:A40"/>
    <mergeCell ref="A48:A49"/>
    <mergeCell ref="A57:A89"/>
    <mergeCell ref="A93:A111"/>
    <mergeCell ref="Q6:Q9"/>
    <mergeCell ref="Q10:Q11"/>
    <mergeCell ref="Q15:Q16"/>
    <mergeCell ref="Q25:Q27"/>
    <mergeCell ref="Q29:Q30"/>
    <mergeCell ref="Q32:Q34"/>
    <mergeCell ref="Q36:Q37"/>
    <mergeCell ref="Q38:Q40"/>
    <mergeCell ref="Q48:Q49"/>
    <mergeCell ref="R1:R4"/>
    <mergeCell ref="R15:R16"/>
    <mergeCell ref="R39:R40"/>
    <mergeCell ref="W6:W9"/>
    <mergeCell ref="W10:W11"/>
    <mergeCell ref="W15:W16"/>
    <mergeCell ref="W25:W27"/>
    <mergeCell ref="W29:W30"/>
    <mergeCell ref="W32:W34"/>
    <mergeCell ref="W36:W37"/>
    <mergeCell ref="W38:W40"/>
    <mergeCell ref="W48:W49"/>
    <mergeCell ref="X1:X4"/>
    <mergeCell ref="X15:X16"/>
    <mergeCell ref="X39:X40"/>
    <mergeCell ref="A1:N4"/>
    <mergeCell ref="O1:Q4"/>
    <mergeCell ref="U1:W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6"/>
  <sheetViews>
    <sheetView zoomScale="70" zoomScaleNormal="70" topLeftCell="B1" workbookViewId="0">
      <pane ySplit="5" topLeftCell="A6" activePane="bottomLeft" state="frozen"/>
      <selection/>
      <selection pane="bottomLeft" activeCell="V14" sqref="V14:X14"/>
    </sheetView>
  </sheetViews>
  <sheetFormatPr defaultColWidth="8.71818181818182" defaultRowHeight="14"/>
  <cols>
    <col min="1" max="1" width="23.6909090909091" style="37" customWidth="1"/>
    <col min="2" max="2" width="19.1545454545455" style="37" customWidth="1"/>
    <col min="3" max="8" width="8.71818181818182" style="44"/>
    <col min="9" max="12" width="8.71818181818182" style="37"/>
    <col min="13" max="14" width="8.71818181818182" style="45"/>
    <col min="15" max="15" width="40.4090909090909" style="45" customWidth="1"/>
    <col min="16" max="16384" width="8.71818181818182" style="36"/>
  </cols>
  <sheetData>
    <row r="1" spans="1:24">
      <c r="A1" s="88" t="s">
        <v>157</v>
      </c>
      <c r="B1" s="89"/>
      <c r="C1" s="89"/>
      <c r="D1" s="89"/>
      <c r="E1" s="89"/>
      <c r="F1" s="89"/>
      <c r="G1" s="89"/>
      <c r="H1" s="89"/>
      <c r="I1" s="89"/>
      <c r="J1" s="89"/>
      <c r="K1" s="89"/>
      <c r="L1" s="89"/>
      <c r="M1" s="89"/>
      <c r="N1" s="89"/>
      <c r="O1" s="89"/>
      <c r="P1" s="89"/>
      <c r="Q1" s="89"/>
      <c r="R1" s="90"/>
    </row>
    <row r="2" spans="1:24">
      <c r="A2" s="91"/>
      <c r="B2" s="92"/>
      <c r="C2" s="92"/>
      <c r="D2" s="92"/>
      <c r="E2" s="92"/>
      <c r="F2" s="92"/>
      <c r="G2" s="92"/>
      <c r="H2" s="92"/>
      <c r="I2" s="92"/>
      <c r="J2" s="92"/>
      <c r="K2" s="92"/>
      <c r="L2" s="92"/>
      <c r="M2" s="92"/>
      <c r="N2" s="92"/>
      <c r="O2" s="92"/>
      <c r="P2" s="92"/>
      <c r="Q2" s="92"/>
      <c r="R2" s="93"/>
    </row>
    <row r="3" spans="1:24">
      <c r="A3" s="91"/>
      <c r="B3" s="92"/>
      <c r="C3" s="92"/>
      <c r="D3" s="92"/>
      <c r="E3" s="92"/>
      <c r="F3" s="92"/>
      <c r="G3" s="92"/>
      <c r="H3" s="92"/>
      <c r="I3" s="92"/>
      <c r="J3" s="92"/>
      <c r="K3" s="92"/>
      <c r="L3" s="92"/>
      <c r="M3" s="92"/>
      <c r="N3" s="92"/>
      <c r="O3" s="92"/>
      <c r="P3" s="92"/>
      <c r="Q3" s="92"/>
      <c r="R3" s="93"/>
    </row>
    <row r="4" spans="1:24">
      <c r="A4" s="94"/>
      <c r="B4" s="95"/>
      <c r="C4" s="95"/>
      <c r="D4" s="95"/>
      <c r="E4" s="95"/>
      <c r="F4" s="95"/>
      <c r="G4" s="95"/>
      <c r="H4" s="95"/>
      <c r="I4" s="95"/>
      <c r="J4" s="95"/>
      <c r="K4" s="95"/>
      <c r="L4" s="95"/>
      <c r="M4" s="95"/>
      <c r="N4" s="95"/>
      <c r="O4" s="95"/>
      <c r="P4" s="95"/>
      <c r="Q4" s="95"/>
      <c r="R4" s="96"/>
    </row>
    <row r="5" spans="1:24">
      <c r="A5" s="97" t="s">
        <v>158</v>
      </c>
      <c r="B5" s="98" t="s">
        <v>16</v>
      </c>
      <c r="C5" s="98" t="s">
        <v>17</v>
      </c>
      <c r="D5" s="98"/>
      <c r="E5" s="98"/>
      <c r="F5" s="98"/>
      <c r="G5" s="98"/>
      <c r="H5" s="98"/>
      <c r="I5" s="98" t="s">
        <v>18</v>
      </c>
      <c r="J5" s="98"/>
      <c r="K5" s="98" t="s">
        <v>19</v>
      </c>
      <c r="L5" s="98"/>
      <c r="M5" s="98" t="s">
        <v>20</v>
      </c>
      <c r="N5" s="97"/>
      <c r="O5" s="98" t="s">
        <v>21</v>
      </c>
      <c r="P5" s="98" t="s">
        <v>159</v>
      </c>
      <c r="Q5" s="98" t="s">
        <v>160</v>
      </c>
      <c r="R5" s="98" t="s">
        <v>161</v>
      </c>
      <c r="V5" s="98" t="s">
        <v>159</v>
      </c>
      <c r="W5" s="98" t="s">
        <v>160</v>
      </c>
      <c r="X5" s="98" t="s">
        <v>161</v>
      </c>
    </row>
    <row r="6" ht="102" customHeight="1" spans="1:24">
      <c r="A6" s="37" t="s">
        <v>162</v>
      </c>
      <c r="B6" s="47" t="s">
        <v>163</v>
      </c>
      <c r="C6" s="44" t="s">
        <v>164</v>
      </c>
      <c r="I6" s="37" t="s">
        <v>70</v>
      </c>
      <c r="K6" s="37" t="s">
        <v>26</v>
      </c>
      <c r="P6" s="36">
        <v>3</v>
      </c>
      <c r="Q6" s="36">
        <v>3</v>
      </c>
      <c r="R6" s="47">
        <v>2</v>
      </c>
      <c r="V6" s="36">
        <v>2</v>
      </c>
      <c r="W6" s="36">
        <v>2</v>
      </c>
      <c r="X6" s="47">
        <v>2</v>
      </c>
    </row>
    <row r="7" ht="33" customHeight="1" spans="1:24">
      <c r="B7" s="48"/>
      <c r="C7" s="44" t="s">
        <v>165</v>
      </c>
      <c r="P7" s="36">
        <v>4</v>
      </c>
      <c r="Q7" s="36">
        <v>3</v>
      </c>
      <c r="R7" s="48"/>
      <c r="V7" s="36">
        <v>2</v>
      </c>
      <c r="W7" s="36">
        <v>2</v>
      </c>
      <c r="X7" s="48"/>
    </row>
    <row r="8" ht="44" customHeight="1" spans="1:24">
      <c r="B8" s="48"/>
      <c r="C8" s="44" t="s">
        <v>166</v>
      </c>
      <c r="P8" s="36">
        <v>2</v>
      </c>
      <c r="Q8" s="36">
        <v>3</v>
      </c>
      <c r="R8" s="48"/>
      <c r="V8" s="36">
        <v>2</v>
      </c>
      <c r="W8" s="36">
        <v>2</v>
      </c>
      <c r="X8" s="48"/>
    </row>
    <row r="9" ht="123" customHeight="1" spans="1:24">
      <c r="B9" s="49"/>
      <c r="C9" s="99" t="s">
        <v>167</v>
      </c>
      <c r="D9" s="100"/>
      <c r="E9" s="100"/>
      <c r="F9" s="100"/>
      <c r="G9" s="100"/>
      <c r="H9" s="101"/>
      <c r="I9" s="102"/>
      <c r="J9" s="103"/>
      <c r="K9" s="102"/>
      <c r="L9" s="103"/>
      <c r="M9" s="102"/>
      <c r="N9" s="103"/>
      <c r="O9" s="104" t="s">
        <v>168</v>
      </c>
      <c r="P9" s="36">
        <v>5</v>
      </c>
      <c r="Q9" s="36">
        <v>3</v>
      </c>
      <c r="R9" s="48"/>
      <c r="V9" s="36">
        <v>3</v>
      </c>
      <c r="W9" s="36">
        <v>3</v>
      </c>
      <c r="X9" s="48"/>
    </row>
    <row r="10" ht="50" customHeight="1" spans="1:24">
      <c r="A10" s="37" t="s">
        <v>169</v>
      </c>
      <c r="B10" s="37" t="s">
        <v>170</v>
      </c>
      <c r="C10" s="44" t="s">
        <v>171</v>
      </c>
      <c r="I10" s="37" t="s">
        <v>70</v>
      </c>
      <c r="K10" s="37" t="s">
        <v>26</v>
      </c>
      <c r="P10" s="36">
        <v>1</v>
      </c>
      <c r="Q10" s="36">
        <v>1</v>
      </c>
      <c r="R10" s="49"/>
      <c r="V10" s="36">
        <v>1</v>
      </c>
      <c r="W10" s="36">
        <v>1</v>
      </c>
      <c r="X10" s="49"/>
    </row>
    <row r="11" ht="184" customHeight="1" spans="1:24">
      <c r="A11" s="37" t="s">
        <v>169</v>
      </c>
      <c r="B11" s="37" t="s">
        <v>172</v>
      </c>
      <c r="C11" s="44" t="s">
        <v>34</v>
      </c>
      <c r="I11" s="37" t="s">
        <v>70</v>
      </c>
      <c r="P11" s="36">
        <v>3</v>
      </c>
      <c r="Q11" s="36">
        <v>2</v>
      </c>
      <c r="R11" s="47">
        <v>1</v>
      </c>
      <c r="V11" s="36">
        <v>2</v>
      </c>
      <c r="W11" s="36">
        <v>2</v>
      </c>
      <c r="X11" s="47">
        <v>1</v>
      </c>
    </row>
    <row r="12" ht="41" customHeight="1" spans="1:24">
      <c r="C12" s="44" t="s">
        <v>173</v>
      </c>
      <c r="I12" s="37" t="s">
        <v>70</v>
      </c>
      <c r="K12" s="37" t="s">
        <v>26</v>
      </c>
      <c r="P12" s="36">
        <v>1</v>
      </c>
      <c r="Q12" s="36">
        <v>1</v>
      </c>
      <c r="R12" s="49"/>
      <c r="V12" s="36">
        <v>1</v>
      </c>
      <c r="W12" s="36">
        <v>1</v>
      </c>
      <c r="X12" s="49"/>
    </row>
    <row r="13" ht="18" customHeight="1" spans="1:24">
      <c r="B13" s="85" t="s">
        <v>106</v>
      </c>
      <c r="C13" s="86"/>
      <c r="D13" s="86"/>
      <c r="E13" s="86"/>
      <c r="F13" s="86"/>
      <c r="G13" s="86"/>
      <c r="H13" s="86"/>
      <c r="I13" s="86"/>
      <c r="J13" s="86"/>
      <c r="K13" s="86"/>
      <c r="L13" s="86"/>
      <c r="M13" s="86"/>
      <c r="N13" s="86"/>
      <c r="O13" s="87"/>
      <c r="P13" s="36">
        <f>SUM(P6:P12)</f>
        <v>19</v>
      </c>
      <c r="Q13" s="36">
        <f>SUM(Q6:Q12)</f>
        <v>16</v>
      </c>
      <c r="R13" s="36">
        <f>SUM(R6:R12)</f>
        <v>3</v>
      </c>
      <c r="V13" s="36">
        <f>SUM(V6:V12)</f>
        <v>13</v>
      </c>
      <c r="W13" s="36">
        <f>SUM(W6:W12)</f>
        <v>13</v>
      </c>
      <c r="X13" s="36">
        <f>SUM(X6:X12)</f>
        <v>3</v>
      </c>
    </row>
    <row r="14" ht="18" customHeight="1" spans="1:24">
      <c r="B14" s="85" t="s">
        <v>107</v>
      </c>
      <c r="C14" s="86"/>
      <c r="D14" s="86"/>
      <c r="E14" s="86"/>
      <c r="F14" s="86"/>
      <c r="G14" s="86"/>
      <c r="H14" s="86"/>
      <c r="I14" s="86"/>
      <c r="J14" s="86"/>
      <c r="K14" s="86"/>
      <c r="L14" s="86"/>
      <c r="M14" s="86"/>
      <c r="N14" s="86"/>
      <c r="O14" s="87"/>
      <c r="P14" s="85">
        <f>SUM(P13:R13)</f>
        <v>38</v>
      </c>
      <c r="Q14" s="86"/>
      <c r="R14" s="87"/>
      <c r="V14" s="85">
        <f>SUM(V13:X13)</f>
        <v>29</v>
      </c>
      <c r="W14" s="86"/>
      <c r="X14" s="87"/>
    </row>
  </sheetData>
  <mergeCells count="289">
    <mergeCell ref="C5:H5"/>
    <mergeCell ref="I5:J5"/>
    <mergeCell ref="K5:L5"/>
    <mergeCell ref="M5:N5"/>
    <mergeCell ref="C6:H6"/>
    <mergeCell ref="M6:N6"/>
    <mergeCell ref="C7:H7"/>
    <mergeCell ref="M7:N7"/>
    <mergeCell ref="C8:H8"/>
    <mergeCell ref="M8:N8"/>
    <mergeCell ref="C9:H9"/>
    <mergeCell ref="I9:J9"/>
    <mergeCell ref="K9:L9"/>
    <mergeCell ref="M9:N9"/>
    <mergeCell ref="C10:H10"/>
    <mergeCell ref="I10:J10"/>
    <mergeCell ref="K10:L10"/>
    <mergeCell ref="M10:N10"/>
    <mergeCell ref="C11:H11"/>
    <mergeCell ref="I11:J11"/>
    <mergeCell ref="K11:L11"/>
    <mergeCell ref="M11:N11"/>
    <mergeCell ref="C12:H12"/>
    <mergeCell ref="I12:J12"/>
    <mergeCell ref="K12:L12"/>
    <mergeCell ref="M12:N12"/>
    <mergeCell ref="B13:O13"/>
    <mergeCell ref="B14:O14"/>
    <mergeCell ref="P14:R14"/>
    <mergeCell ref="V14:X14"/>
    <mergeCell ref="C15:H15"/>
    <mergeCell ref="I15:J15"/>
    <mergeCell ref="K15:L15"/>
    <mergeCell ref="M15:N15"/>
    <mergeCell ref="C16:H16"/>
    <mergeCell ref="I16:J16"/>
    <mergeCell ref="K16:L16"/>
    <mergeCell ref="M16:N16"/>
    <mergeCell ref="C17:H17"/>
    <mergeCell ref="I17:J17"/>
    <mergeCell ref="K17:L17"/>
    <mergeCell ref="M17:N17"/>
    <mergeCell ref="C18:H18"/>
    <mergeCell ref="I18:J18"/>
    <mergeCell ref="K18:L18"/>
    <mergeCell ref="M18:N18"/>
    <mergeCell ref="C19:H19"/>
    <mergeCell ref="I19:J19"/>
    <mergeCell ref="K19:L19"/>
    <mergeCell ref="M19:N19"/>
    <mergeCell ref="C20:H20"/>
    <mergeCell ref="I20:J20"/>
    <mergeCell ref="K20:L20"/>
    <mergeCell ref="M20:N20"/>
    <mergeCell ref="C21:H21"/>
    <mergeCell ref="I21:J21"/>
    <mergeCell ref="K21:L21"/>
    <mergeCell ref="M21:N21"/>
    <mergeCell ref="C22:H22"/>
    <mergeCell ref="I22:J22"/>
    <mergeCell ref="K22:L22"/>
    <mergeCell ref="M22:N22"/>
    <mergeCell ref="C23:H23"/>
    <mergeCell ref="I23:J23"/>
    <mergeCell ref="K23:L23"/>
    <mergeCell ref="M23:N23"/>
    <mergeCell ref="C24:H24"/>
    <mergeCell ref="I24:J24"/>
    <mergeCell ref="K24:L24"/>
    <mergeCell ref="M24:N24"/>
    <mergeCell ref="C25:H25"/>
    <mergeCell ref="I25:J25"/>
    <mergeCell ref="K25:L25"/>
    <mergeCell ref="M25:N25"/>
    <mergeCell ref="C26:H26"/>
    <mergeCell ref="I26:J26"/>
    <mergeCell ref="K26:L26"/>
    <mergeCell ref="M26:N26"/>
    <mergeCell ref="C27:H27"/>
    <mergeCell ref="I27:J27"/>
    <mergeCell ref="K27:L27"/>
    <mergeCell ref="M27:N27"/>
    <mergeCell ref="C28:H28"/>
    <mergeCell ref="I28:J28"/>
    <mergeCell ref="K28:L28"/>
    <mergeCell ref="M28:N28"/>
    <mergeCell ref="C29:H29"/>
    <mergeCell ref="I29:J29"/>
    <mergeCell ref="K29:L29"/>
    <mergeCell ref="M29:N29"/>
    <mergeCell ref="C30:H30"/>
    <mergeCell ref="I30:J30"/>
    <mergeCell ref="K30:L30"/>
    <mergeCell ref="M30:N30"/>
    <mergeCell ref="C31:H31"/>
    <mergeCell ref="I31:J31"/>
    <mergeCell ref="K31:L31"/>
    <mergeCell ref="M31:N31"/>
    <mergeCell ref="C32:H32"/>
    <mergeCell ref="I32:J32"/>
    <mergeCell ref="K32:L32"/>
    <mergeCell ref="M32:N32"/>
    <mergeCell ref="C33:H33"/>
    <mergeCell ref="I33:J33"/>
    <mergeCell ref="K33:L33"/>
    <mergeCell ref="M33:N33"/>
    <mergeCell ref="C34:H34"/>
    <mergeCell ref="I34:J34"/>
    <mergeCell ref="K34:L34"/>
    <mergeCell ref="M34:N34"/>
    <mergeCell ref="C35:H35"/>
    <mergeCell ref="I35:J35"/>
    <mergeCell ref="K35:L35"/>
    <mergeCell ref="M35:N35"/>
    <mergeCell ref="C36:H36"/>
    <mergeCell ref="I36:J36"/>
    <mergeCell ref="K36:L36"/>
    <mergeCell ref="M36:N36"/>
    <mergeCell ref="C37:H37"/>
    <mergeCell ref="I37:J37"/>
    <mergeCell ref="K37:L37"/>
    <mergeCell ref="M37:N37"/>
    <mergeCell ref="C38:H38"/>
    <mergeCell ref="I38:J38"/>
    <mergeCell ref="K38:L38"/>
    <mergeCell ref="M38:N38"/>
    <mergeCell ref="C39:H39"/>
    <mergeCell ref="I39:J39"/>
    <mergeCell ref="K39:L39"/>
    <mergeCell ref="M39:N39"/>
    <mergeCell ref="C40:H40"/>
    <mergeCell ref="I40:J40"/>
    <mergeCell ref="K40:L40"/>
    <mergeCell ref="M40:N40"/>
    <mergeCell ref="C41:H41"/>
    <mergeCell ref="I41:J41"/>
    <mergeCell ref="K41:L41"/>
    <mergeCell ref="M41:N41"/>
    <mergeCell ref="C42:H42"/>
    <mergeCell ref="I42:J42"/>
    <mergeCell ref="K42:L42"/>
    <mergeCell ref="M42:N42"/>
    <mergeCell ref="C43:H43"/>
    <mergeCell ref="I43:J43"/>
    <mergeCell ref="K43:L43"/>
    <mergeCell ref="M43:N43"/>
    <mergeCell ref="C44:H44"/>
    <mergeCell ref="I44:J44"/>
    <mergeCell ref="K44:L44"/>
    <mergeCell ref="M44:N44"/>
    <mergeCell ref="C45:H45"/>
    <mergeCell ref="I45:J45"/>
    <mergeCell ref="K45:L45"/>
    <mergeCell ref="M45:N45"/>
    <mergeCell ref="C46:H46"/>
    <mergeCell ref="I46:J46"/>
    <mergeCell ref="K46:L46"/>
    <mergeCell ref="M46:N46"/>
    <mergeCell ref="C47:H47"/>
    <mergeCell ref="I47:J47"/>
    <mergeCell ref="K47:L47"/>
    <mergeCell ref="M47:N47"/>
    <mergeCell ref="C48:H48"/>
    <mergeCell ref="I48:J48"/>
    <mergeCell ref="K48:L48"/>
    <mergeCell ref="M48:N48"/>
    <mergeCell ref="C49:H49"/>
    <mergeCell ref="I49:J49"/>
    <mergeCell ref="K49:L49"/>
    <mergeCell ref="M49:N49"/>
    <mergeCell ref="C50:H50"/>
    <mergeCell ref="I50:J50"/>
    <mergeCell ref="K50:L50"/>
    <mergeCell ref="M50:N50"/>
    <mergeCell ref="C51:H51"/>
    <mergeCell ref="I51:J51"/>
    <mergeCell ref="K51:L51"/>
    <mergeCell ref="M51:N51"/>
    <mergeCell ref="C52:H52"/>
    <mergeCell ref="I52:J52"/>
    <mergeCell ref="K52:L52"/>
    <mergeCell ref="M52:N52"/>
    <mergeCell ref="C53:H53"/>
    <mergeCell ref="I53:J53"/>
    <mergeCell ref="K53:L53"/>
    <mergeCell ref="M53:N53"/>
    <mergeCell ref="C54:H54"/>
    <mergeCell ref="I54:J54"/>
    <mergeCell ref="K54:L54"/>
    <mergeCell ref="M54:N54"/>
    <mergeCell ref="C55:H55"/>
    <mergeCell ref="I55:J55"/>
    <mergeCell ref="K55:L55"/>
    <mergeCell ref="M55:N55"/>
    <mergeCell ref="C56:H56"/>
    <mergeCell ref="I56:J56"/>
    <mergeCell ref="K56:L56"/>
    <mergeCell ref="M56:N56"/>
    <mergeCell ref="C57:H57"/>
    <mergeCell ref="I57:J57"/>
    <mergeCell ref="K57:L57"/>
    <mergeCell ref="M57:N57"/>
    <mergeCell ref="C58:H58"/>
    <mergeCell ref="I58:J58"/>
    <mergeCell ref="K58:L58"/>
    <mergeCell ref="M58:N58"/>
    <mergeCell ref="C59:H59"/>
    <mergeCell ref="I59:J59"/>
    <mergeCell ref="K59:L59"/>
    <mergeCell ref="M59:N59"/>
    <mergeCell ref="C60:H60"/>
    <mergeCell ref="I60:J60"/>
    <mergeCell ref="K60:L60"/>
    <mergeCell ref="M60:N60"/>
    <mergeCell ref="C61:H61"/>
    <mergeCell ref="I61:J61"/>
    <mergeCell ref="K61:L61"/>
    <mergeCell ref="M61:N61"/>
    <mergeCell ref="C62:H62"/>
    <mergeCell ref="I62:J62"/>
    <mergeCell ref="K62:L62"/>
    <mergeCell ref="M62:N62"/>
    <mergeCell ref="C63:H63"/>
    <mergeCell ref="I63:J63"/>
    <mergeCell ref="K63:L63"/>
    <mergeCell ref="M63:N63"/>
    <mergeCell ref="C64:H64"/>
    <mergeCell ref="I64:J64"/>
    <mergeCell ref="K64:L64"/>
    <mergeCell ref="M64:N64"/>
    <mergeCell ref="C65:H65"/>
    <mergeCell ref="I65:J65"/>
    <mergeCell ref="K65:L65"/>
    <mergeCell ref="M65:N65"/>
    <mergeCell ref="C66:H66"/>
    <mergeCell ref="I66:J66"/>
    <mergeCell ref="K66:L66"/>
    <mergeCell ref="M66:N66"/>
    <mergeCell ref="C67:H67"/>
    <mergeCell ref="I67:J67"/>
    <mergeCell ref="K67:L67"/>
    <mergeCell ref="M67:N67"/>
    <mergeCell ref="C68:H68"/>
    <mergeCell ref="I68:J68"/>
    <mergeCell ref="K68:L68"/>
    <mergeCell ref="M68:N68"/>
    <mergeCell ref="C69:H69"/>
    <mergeCell ref="I69:J69"/>
    <mergeCell ref="K69:L69"/>
    <mergeCell ref="M69:N69"/>
    <mergeCell ref="C70:H70"/>
    <mergeCell ref="I70:J70"/>
    <mergeCell ref="K70:L70"/>
    <mergeCell ref="M70:N70"/>
    <mergeCell ref="C71:H71"/>
    <mergeCell ref="I71:J71"/>
    <mergeCell ref="K71:L71"/>
    <mergeCell ref="M71:N71"/>
    <mergeCell ref="C72:H72"/>
    <mergeCell ref="I72:J72"/>
    <mergeCell ref="K72:L72"/>
    <mergeCell ref="M72:N72"/>
    <mergeCell ref="C73:H73"/>
    <mergeCell ref="I73:J73"/>
    <mergeCell ref="K73:L73"/>
    <mergeCell ref="M73:N73"/>
    <mergeCell ref="C74:H74"/>
    <mergeCell ref="I74:J74"/>
    <mergeCell ref="K74:L74"/>
    <mergeCell ref="M74:N74"/>
    <mergeCell ref="C75:H75"/>
    <mergeCell ref="I75:J75"/>
    <mergeCell ref="K75:L75"/>
    <mergeCell ref="M75:N75"/>
    <mergeCell ref="C76:H76"/>
    <mergeCell ref="I76:J76"/>
    <mergeCell ref="K76:L76"/>
    <mergeCell ref="M76:N76"/>
    <mergeCell ref="A6:A8"/>
    <mergeCell ref="A11:A12"/>
    <mergeCell ref="B6:B9"/>
    <mergeCell ref="B11:B12"/>
    <mergeCell ref="R6:R10"/>
    <mergeCell ref="R11:R12"/>
    <mergeCell ref="X6:X10"/>
    <mergeCell ref="X11:X12"/>
    <mergeCell ref="I6:J8"/>
    <mergeCell ref="K6:L8"/>
    <mergeCell ref="A1:R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5"/>
  <sheetViews>
    <sheetView zoomScale="85" zoomScaleNormal="85" topLeftCell="B1" workbookViewId="0">
      <pane ySplit="5" topLeftCell="A10" activePane="bottomLeft" state="frozen"/>
      <selection/>
      <selection pane="bottomLeft" activeCell="P15" sqref="P15:R15"/>
    </sheetView>
  </sheetViews>
  <sheetFormatPr defaultColWidth="8.71818181818182" defaultRowHeight="14"/>
  <cols>
    <col min="1" max="1" width="14.9363636363636" style="71" customWidth="1"/>
    <col min="2" max="2" width="18.6909090909091" style="72" customWidth="1"/>
    <col min="3" max="3" width="17.4909090909091" style="72" customWidth="1"/>
    <col min="4" max="4" width="15.0545454545455" style="72" customWidth="1"/>
    <col min="5" max="5" width="18.1727272727273" style="72" customWidth="1"/>
    <col min="6" max="6" width="15.7363636363636" style="72" customWidth="1"/>
    <col min="7" max="7" width="32.2818181818182" style="72" customWidth="1"/>
    <col min="8" max="8" width="28.2454545454545" style="71" customWidth="1"/>
    <col min="9" max="9" width="27.9636363636364" style="71" customWidth="1"/>
    <col min="10" max="10" width="58.9545454545455" style="73" customWidth="1"/>
  </cols>
  <sheetData>
    <row r="1" spans="1:18">
      <c r="A1" s="74" t="s">
        <v>174</v>
      </c>
      <c r="B1" s="74"/>
      <c r="C1" s="74"/>
      <c r="D1" s="74"/>
      <c r="E1" s="74"/>
      <c r="F1" s="74"/>
      <c r="G1" s="74"/>
      <c r="H1" s="74"/>
      <c r="I1" s="74"/>
      <c r="J1" s="74"/>
      <c r="K1" s="74"/>
      <c r="L1" s="74"/>
      <c r="M1" s="74"/>
    </row>
    <row r="2" spans="1:18">
      <c r="A2" s="74"/>
      <c r="B2" s="74"/>
      <c r="C2" s="74"/>
      <c r="D2" s="74"/>
      <c r="E2" s="74"/>
      <c r="F2" s="74"/>
      <c r="G2" s="74"/>
      <c r="H2" s="74"/>
      <c r="I2" s="74"/>
      <c r="J2" s="74"/>
      <c r="K2" s="74"/>
      <c r="L2" s="74"/>
      <c r="M2" s="74"/>
    </row>
    <row r="3" spans="1:18">
      <c r="A3" s="74"/>
      <c r="B3" s="74"/>
      <c r="C3" s="74"/>
      <c r="D3" s="74"/>
      <c r="E3" s="74"/>
      <c r="F3" s="74"/>
      <c r="G3" s="74"/>
      <c r="H3" s="74"/>
      <c r="I3" s="74"/>
      <c r="J3" s="74"/>
      <c r="K3" s="74"/>
      <c r="L3" s="74"/>
      <c r="M3" s="74"/>
    </row>
    <row r="4" spans="1:18">
      <c r="A4" s="74"/>
      <c r="B4" s="74"/>
      <c r="C4" s="74"/>
      <c r="D4" s="74"/>
      <c r="E4" s="74"/>
      <c r="F4" s="74"/>
      <c r="G4" s="74"/>
      <c r="H4" s="74"/>
      <c r="I4" s="74"/>
      <c r="J4" s="74"/>
      <c r="K4" s="74"/>
      <c r="L4" s="74"/>
      <c r="M4" s="74"/>
    </row>
    <row r="5" ht="58" customHeight="1" spans="1:18">
      <c r="A5" s="75" t="s">
        <v>16</v>
      </c>
      <c r="B5" s="75" t="s">
        <v>17</v>
      </c>
      <c r="C5" s="75"/>
      <c r="D5" s="75"/>
      <c r="E5" s="75"/>
      <c r="F5" s="75"/>
      <c r="G5" s="75"/>
      <c r="H5" s="75" t="s">
        <v>20</v>
      </c>
      <c r="I5" s="75"/>
      <c r="J5" s="75" t="s">
        <v>21</v>
      </c>
      <c r="K5" s="14" t="s">
        <v>159</v>
      </c>
      <c r="L5" s="14" t="s">
        <v>160</v>
      </c>
      <c r="M5" s="14" t="s">
        <v>161</v>
      </c>
      <c r="P5" s="14" t="s">
        <v>159</v>
      </c>
      <c r="Q5" s="14" t="s">
        <v>160</v>
      </c>
      <c r="R5" s="14" t="s">
        <v>161</v>
      </c>
    </row>
    <row r="6" ht="409" customHeight="1" spans="1:18">
      <c r="A6" s="76" t="s">
        <v>175</v>
      </c>
      <c r="B6" s="44" t="s">
        <v>176</v>
      </c>
      <c r="C6" s="44"/>
      <c r="D6" s="44"/>
      <c r="E6" s="44"/>
      <c r="F6" s="44"/>
      <c r="G6" s="44"/>
      <c r="H6" s="44" t="s">
        <v>177</v>
      </c>
      <c r="I6" s="44"/>
      <c r="J6" s="44" t="s">
        <v>178</v>
      </c>
      <c r="K6" s="36">
        <v>6</v>
      </c>
      <c r="L6" s="36">
        <v>10</v>
      </c>
      <c r="M6" s="36">
        <v>2</v>
      </c>
      <c r="P6" s="36">
        <v>5</v>
      </c>
      <c r="Q6" s="36">
        <v>5</v>
      </c>
      <c r="R6" s="36">
        <v>2</v>
      </c>
    </row>
    <row r="7" ht="50" customHeight="1" spans="1:18">
      <c r="A7" s="77"/>
      <c r="B7" s="50" t="s">
        <v>179</v>
      </c>
      <c r="C7" s="53"/>
      <c r="D7" s="53"/>
      <c r="E7" s="53"/>
      <c r="F7" s="53"/>
      <c r="G7" s="51"/>
      <c r="H7" s="78"/>
      <c r="I7" s="79"/>
      <c r="J7" s="44"/>
      <c r="K7" s="36">
        <v>0</v>
      </c>
      <c r="L7" s="36">
        <v>2</v>
      </c>
      <c r="M7" s="36">
        <v>1</v>
      </c>
      <c r="P7" s="36">
        <v>0</v>
      </c>
      <c r="Q7" s="36">
        <v>2</v>
      </c>
      <c r="R7" s="36">
        <v>1</v>
      </c>
    </row>
    <row r="8" ht="87" customHeight="1" spans="1:18">
      <c r="A8" s="52" t="s">
        <v>180</v>
      </c>
      <c r="B8" s="44" t="s">
        <v>181</v>
      </c>
      <c r="C8" s="44"/>
      <c r="D8" s="44"/>
      <c r="E8" s="44"/>
      <c r="F8" s="44"/>
      <c r="G8" s="44"/>
      <c r="H8" s="52"/>
      <c r="I8" s="52"/>
      <c r="J8" s="80"/>
      <c r="K8" s="36">
        <v>3</v>
      </c>
      <c r="L8" s="36">
        <v>3</v>
      </c>
      <c r="M8" s="36">
        <v>1</v>
      </c>
      <c r="P8" s="36">
        <v>2</v>
      </c>
      <c r="Q8" s="36">
        <v>2</v>
      </c>
      <c r="R8" s="36">
        <v>1</v>
      </c>
    </row>
    <row r="9" ht="321" customHeight="1" spans="1:18">
      <c r="A9" s="52" t="s">
        <v>182</v>
      </c>
      <c r="B9" s="46" t="s">
        <v>183</v>
      </c>
      <c r="C9" s="44"/>
      <c r="D9" s="44"/>
      <c r="E9" s="44"/>
      <c r="F9" s="44"/>
      <c r="G9" s="44"/>
      <c r="H9" s="44"/>
      <c r="I9" s="44"/>
      <c r="J9" s="80"/>
      <c r="K9" s="36">
        <v>3</v>
      </c>
      <c r="L9" s="36">
        <v>5</v>
      </c>
      <c r="M9" s="36">
        <v>1</v>
      </c>
      <c r="P9" s="36">
        <v>3</v>
      </c>
      <c r="Q9" s="36">
        <v>3</v>
      </c>
      <c r="R9" s="36">
        <v>1</v>
      </c>
    </row>
    <row r="10" ht="335" customHeight="1" spans="1:18">
      <c r="A10" s="52"/>
      <c r="B10" s="44" t="s">
        <v>184</v>
      </c>
      <c r="C10" s="44"/>
      <c r="D10" s="44"/>
      <c r="E10" s="44"/>
      <c r="F10" s="44"/>
      <c r="G10" s="44"/>
      <c r="H10" s="52"/>
      <c r="I10" s="52"/>
      <c r="J10" s="80"/>
      <c r="K10" s="36">
        <v>3</v>
      </c>
      <c r="L10" s="36">
        <v>5</v>
      </c>
      <c r="M10" s="36">
        <v>2</v>
      </c>
      <c r="P10" s="36">
        <v>3</v>
      </c>
      <c r="Q10" s="36">
        <v>3</v>
      </c>
      <c r="R10" s="36">
        <v>1</v>
      </c>
    </row>
    <row r="11" ht="261" customHeight="1" spans="1:18">
      <c r="A11" s="52"/>
      <c r="B11" s="44" t="s">
        <v>185</v>
      </c>
      <c r="C11" s="44"/>
      <c r="D11" s="44"/>
      <c r="E11" s="44"/>
      <c r="F11" s="44"/>
      <c r="G11" s="44"/>
      <c r="H11" s="52"/>
      <c r="I11" s="52"/>
      <c r="J11" s="80"/>
      <c r="K11" s="36">
        <v>3</v>
      </c>
      <c r="L11" s="36">
        <v>5</v>
      </c>
      <c r="M11" s="36">
        <v>2</v>
      </c>
      <c r="P11" s="36">
        <v>3</v>
      </c>
      <c r="Q11" s="36">
        <v>3</v>
      </c>
      <c r="R11" s="36">
        <v>1</v>
      </c>
    </row>
    <row r="12" ht="112" customHeight="1" spans="1:18">
      <c r="A12" s="52"/>
      <c r="B12" s="44" t="s">
        <v>186</v>
      </c>
      <c r="C12" s="44"/>
      <c r="D12" s="44"/>
      <c r="E12" s="44"/>
      <c r="F12" s="44"/>
      <c r="G12" s="44"/>
      <c r="H12" s="81"/>
      <c r="I12" s="81"/>
      <c r="J12" s="80"/>
      <c r="K12" s="36">
        <v>1</v>
      </c>
      <c r="L12" s="36">
        <v>3</v>
      </c>
      <c r="M12" s="36">
        <v>1</v>
      </c>
      <c r="P12" s="36">
        <v>1</v>
      </c>
      <c r="Q12" s="36">
        <v>2</v>
      </c>
      <c r="R12" s="36">
        <v>1</v>
      </c>
    </row>
    <row r="13" ht="89" customHeight="1" spans="1:18">
      <c r="A13" s="52" t="s">
        <v>187</v>
      </c>
      <c r="B13" s="44" t="s">
        <v>188</v>
      </c>
      <c r="C13" s="44"/>
      <c r="D13" s="44"/>
      <c r="E13" s="44"/>
      <c r="F13" s="44"/>
      <c r="G13" s="44"/>
      <c r="H13" s="81"/>
      <c r="I13" s="81"/>
      <c r="J13" s="80"/>
      <c r="K13" s="36">
        <v>3</v>
      </c>
      <c r="L13" s="36">
        <v>2</v>
      </c>
      <c r="M13" s="36">
        <v>1</v>
      </c>
      <c r="P13" s="36">
        <v>2</v>
      </c>
      <c r="Q13" s="36">
        <v>2</v>
      </c>
      <c r="R13" s="36">
        <v>1</v>
      </c>
    </row>
    <row r="14" ht="18" customHeight="1" spans="1:18">
      <c r="A14" s="82" t="s">
        <v>106</v>
      </c>
      <c r="B14" s="83"/>
      <c r="C14" s="83"/>
      <c r="D14" s="83"/>
      <c r="E14" s="83"/>
      <c r="F14" s="83"/>
      <c r="G14" s="83"/>
      <c r="H14" s="83"/>
      <c r="I14" s="83"/>
      <c r="J14" s="84"/>
      <c r="K14" s="36">
        <f t="shared" ref="K14:R14" si="0">SUM(K6:K13)</f>
        <v>22</v>
      </c>
      <c r="L14" s="36">
        <f t="shared" si="0"/>
        <v>35</v>
      </c>
      <c r="M14" s="36">
        <f t="shared" si="0"/>
        <v>11</v>
      </c>
      <c r="P14" s="36">
        <f t="shared" si="0"/>
        <v>19</v>
      </c>
      <c r="Q14" s="36">
        <f t="shared" si="0"/>
        <v>22</v>
      </c>
      <c r="R14" s="36">
        <f t="shared" si="0"/>
        <v>9</v>
      </c>
    </row>
    <row r="15" ht="18" customHeight="1" spans="1:18">
      <c r="A15" s="82" t="s">
        <v>107</v>
      </c>
      <c r="B15" s="83"/>
      <c r="C15" s="83"/>
      <c r="D15" s="83"/>
      <c r="E15" s="83"/>
      <c r="F15" s="83"/>
      <c r="G15" s="83"/>
      <c r="H15" s="83"/>
      <c r="I15" s="83"/>
      <c r="J15" s="84"/>
      <c r="K15" s="85">
        <f>SUM(K14:M14)</f>
        <v>68</v>
      </c>
      <c r="L15" s="86"/>
      <c r="M15" s="87"/>
      <c r="P15" s="85">
        <f>SUM(P14:R14)</f>
        <v>50</v>
      </c>
      <c r="Q15" s="86"/>
      <c r="R15" s="87"/>
    </row>
  </sheetData>
  <mergeCells count="105">
    <mergeCell ref="B5:G5"/>
    <mergeCell ref="H5:I5"/>
    <mergeCell ref="B6:G6"/>
    <mergeCell ref="H6:I6"/>
    <mergeCell ref="B7:G7"/>
    <mergeCell ref="H7:I7"/>
    <mergeCell ref="B8:G8"/>
    <mergeCell ref="H8:I8"/>
    <mergeCell ref="B9:G9"/>
    <mergeCell ref="H9:I9"/>
    <mergeCell ref="B10:G10"/>
    <mergeCell ref="H10:I10"/>
    <mergeCell ref="B11:G11"/>
    <mergeCell ref="H11:I11"/>
    <mergeCell ref="B12:G12"/>
    <mergeCell ref="H12:I12"/>
    <mergeCell ref="B13:G13"/>
    <mergeCell ref="H13:I13"/>
    <mergeCell ref="A14:J14"/>
    <mergeCell ref="A15:J15"/>
    <mergeCell ref="K15:M15"/>
    <mergeCell ref="P15:R15"/>
    <mergeCell ref="B16:G16"/>
    <mergeCell ref="H16:I16"/>
    <mergeCell ref="B17:G17"/>
    <mergeCell ref="H17:I17"/>
    <mergeCell ref="B18:G18"/>
    <mergeCell ref="H18:I18"/>
    <mergeCell ref="B19:G19"/>
    <mergeCell ref="H19:I19"/>
    <mergeCell ref="B20:G20"/>
    <mergeCell ref="H20:I20"/>
    <mergeCell ref="B21:G21"/>
    <mergeCell ref="H21:I21"/>
    <mergeCell ref="B22:G22"/>
    <mergeCell ref="H22:I22"/>
    <mergeCell ref="B23:G23"/>
    <mergeCell ref="H23:I23"/>
    <mergeCell ref="B24:G24"/>
    <mergeCell ref="H24:I24"/>
    <mergeCell ref="B25:G25"/>
    <mergeCell ref="H25:I25"/>
    <mergeCell ref="B26:G26"/>
    <mergeCell ref="H26:I26"/>
    <mergeCell ref="B27:G27"/>
    <mergeCell ref="H27:I27"/>
    <mergeCell ref="B28:G28"/>
    <mergeCell ref="H28:I28"/>
    <mergeCell ref="B29:G29"/>
    <mergeCell ref="H29:I29"/>
    <mergeCell ref="B30:G30"/>
    <mergeCell ref="H30:I30"/>
    <mergeCell ref="B31:G31"/>
    <mergeCell ref="H31:I31"/>
    <mergeCell ref="B32:G32"/>
    <mergeCell ref="H32:I32"/>
    <mergeCell ref="B33:G33"/>
    <mergeCell ref="H33:I33"/>
    <mergeCell ref="B34:G34"/>
    <mergeCell ref="H34:I34"/>
    <mergeCell ref="B35:G35"/>
    <mergeCell ref="H35:I35"/>
    <mergeCell ref="B36:G36"/>
    <mergeCell ref="H36:I36"/>
    <mergeCell ref="B37:G37"/>
    <mergeCell ref="H37:I37"/>
    <mergeCell ref="B38:G38"/>
    <mergeCell ref="H38:I38"/>
    <mergeCell ref="B39:G39"/>
    <mergeCell ref="H39:I39"/>
    <mergeCell ref="B40:G40"/>
    <mergeCell ref="H40:I40"/>
    <mergeCell ref="B41:G41"/>
    <mergeCell ref="H41:I41"/>
    <mergeCell ref="B42:G42"/>
    <mergeCell ref="H42:I42"/>
    <mergeCell ref="B43:G43"/>
    <mergeCell ref="H43:I43"/>
    <mergeCell ref="B44:G44"/>
    <mergeCell ref="H44:I44"/>
    <mergeCell ref="B45:G45"/>
    <mergeCell ref="H45:I45"/>
    <mergeCell ref="B46:G46"/>
    <mergeCell ref="H46:I46"/>
    <mergeCell ref="B47:G47"/>
    <mergeCell ref="H47:I47"/>
    <mergeCell ref="B48:G48"/>
    <mergeCell ref="H48:I48"/>
    <mergeCell ref="B49:G49"/>
    <mergeCell ref="H49:I49"/>
    <mergeCell ref="B50:G50"/>
    <mergeCell ref="H50:I50"/>
    <mergeCell ref="B51:G51"/>
    <mergeCell ref="H51:I51"/>
    <mergeCell ref="B52:G52"/>
    <mergeCell ref="H52:I52"/>
    <mergeCell ref="B53:G53"/>
    <mergeCell ref="H53:I53"/>
    <mergeCell ref="B54:G54"/>
    <mergeCell ref="H54:I54"/>
    <mergeCell ref="B55:G55"/>
    <mergeCell ref="H55:I55"/>
    <mergeCell ref="A6:A7"/>
    <mergeCell ref="A10:A12"/>
    <mergeCell ref="A1:M4"/>
  </mergeCells>
  <pageMargins left="0.75" right="0.75" top="1" bottom="1" header="0.5" footer="0.5"/>
  <headerFooter/>
  <drawing r:id="rId1"/>
  <legacyDrawing r:id="rId2"/>
  <oleObjects>
    <mc:AlternateContent xmlns:mc="http://schemas.openxmlformats.org/markup-compatibility/2006">
      <mc:Choice Requires="x14">
        <oleObject shapeId="1026" progId="Package" r:id="rId3">
          <objectPr defaultSize="0" r:id="rId4">
            <anchor moveWithCells="1">
              <from>
                <xdr:col>9</xdr:col>
                <xdr:colOff>57150</xdr:colOff>
                <xdr:row>5</xdr:row>
                <xdr:rowOff>3321050</xdr:rowOff>
              </from>
              <to>
                <xdr:col>9</xdr:col>
                <xdr:colOff>1941830</xdr:colOff>
                <xdr:row>5</xdr:row>
                <xdr:rowOff>3786505</xdr:rowOff>
              </to>
            </anchor>
          </objectPr>
        </oleObject>
      </mc:Choice>
      <mc:Fallback>
        <oleObject shapeId="1026" progId="Package"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9"/>
  <sheetViews>
    <sheetView workbookViewId="0">
      <pane ySplit="5" topLeftCell="A83" activePane="bottomLeft" state="frozen"/>
      <selection/>
      <selection pane="bottomLeft" activeCell="R98" sqref="R98"/>
    </sheetView>
  </sheetViews>
  <sheetFormatPr defaultColWidth="8.71818181818182" defaultRowHeight="14"/>
  <cols>
    <col min="1" max="1" width="25.9272727272727" style="2" customWidth="1"/>
    <col min="2" max="2" width="29.6454545454545" style="2" customWidth="1"/>
    <col min="3" max="3" width="23.4636363636364" style="2" customWidth="1"/>
    <col min="4" max="4" width="22.6" style="2" customWidth="1"/>
    <col min="5" max="5" width="25.6181818181818" style="2" customWidth="1"/>
    <col min="6" max="6" width="13.2818181818182" style="2" customWidth="1"/>
    <col min="7" max="7" width="20.5454545454545" style="2" hidden="1" customWidth="1"/>
    <col min="8" max="8" width="19.1545454545455" style="3" customWidth="1"/>
    <col min="9" max="9" width="19.6909090909091" style="3" customWidth="1"/>
    <col min="10" max="10" width="11.7181818181818" style="2" customWidth="1"/>
    <col min="11" max="16384" width="8.71818181818182" style="4"/>
  </cols>
  <sheetData>
    <row r="1" spans="1:18">
      <c r="A1" s="5" t="s">
        <v>189</v>
      </c>
      <c r="B1" s="6"/>
      <c r="C1" s="6"/>
      <c r="D1" s="6"/>
      <c r="E1" s="6"/>
      <c r="F1" s="6"/>
      <c r="G1" s="6"/>
      <c r="H1" s="6"/>
      <c r="I1" s="6"/>
      <c r="J1" s="6"/>
      <c r="K1" s="6"/>
      <c r="L1" s="6"/>
      <c r="M1" s="7"/>
    </row>
    <row r="2" spans="1:18">
      <c r="A2" s="8"/>
      <c r="B2" s="9"/>
      <c r="C2" s="9"/>
      <c r="D2" s="9"/>
      <c r="E2" s="9"/>
      <c r="F2" s="9"/>
      <c r="G2" s="9"/>
      <c r="H2" s="9"/>
      <c r="I2" s="9"/>
      <c r="J2" s="9"/>
      <c r="K2" s="9"/>
      <c r="L2" s="9"/>
      <c r="M2" s="10"/>
    </row>
    <row r="3" spans="1:18">
      <c r="A3" s="8"/>
      <c r="B3" s="9"/>
      <c r="C3" s="9"/>
      <c r="D3" s="9"/>
      <c r="E3" s="9"/>
      <c r="F3" s="9"/>
      <c r="G3" s="9"/>
      <c r="H3" s="9"/>
      <c r="I3" s="9"/>
      <c r="J3" s="9"/>
      <c r="K3" s="9"/>
      <c r="L3" s="9"/>
      <c r="M3" s="10"/>
    </row>
    <row r="4" spans="1:18">
      <c r="A4" s="11"/>
      <c r="B4" s="12"/>
      <c r="C4" s="12"/>
      <c r="D4" s="12"/>
      <c r="E4" s="12"/>
      <c r="F4" s="12"/>
      <c r="G4" s="12"/>
      <c r="H4" s="12"/>
      <c r="I4" s="12"/>
      <c r="J4" s="12"/>
      <c r="K4" s="12"/>
      <c r="L4" s="12"/>
      <c r="M4" s="13"/>
    </row>
    <row r="5" spans="1:18">
      <c r="A5" s="14" t="s">
        <v>16</v>
      </c>
      <c r="B5" s="14" t="s">
        <v>17</v>
      </c>
      <c r="C5" s="14"/>
      <c r="D5" s="14"/>
      <c r="E5" s="14"/>
      <c r="F5" s="14"/>
      <c r="G5" s="14"/>
      <c r="H5" s="15" t="s">
        <v>20</v>
      </c>
      <c r="I5" s="15"/>
      <c r="J5" s="14" t="s">
        <v>159</v>
      </c>
      <c r="K5" s="14" t="s">
        <v>160</v>
      </c>
      <c r="L5" s="14" t="s">
        <v>190</v>
      </c>
      <c r="M5" s="14" t="s">
        <v>161</v>
      </c>
      <c r="O5" s="16" t="s">
        <v>159</v>
      </c>
      <c r="P5" s="16" t="s">
        <v>160</v>
      </c>
      <c r="Q5" s="14" t="s">
        <v>190</v>
      </c>
      <c r="R5" s="14" t="s">
        <v>161</v>
      </c>
    </row>
    <row r="6" ht="33" customHeight="1" spans="1:18">
      <c r="A6" s="17" t="s">
        <v>191</v>
      </c>
      <c r="B6" s="18" t="s">
        <v>192</v>
      </c>
      <c r="C6" s="19"/>
      <c r="D6" s="19"/>
      <c r="E6" s="19"/>
      <c r="F6" s="20"/>
      <c r="G6" s="21"/>
      <c r="H6" s="22"/>
      <c r="I6" s="23"/>
      <c r="J6" s="21"/>
      <c r="K6" s="21"/>
      <c r="L6" s="21"/>
      <c r="M6" s="21"/>
      <c r="O6" s="24"/>
      <c r="P6" s="21"/>
      <c r="Q6" s="21"/>
      <c r="R6" s="21"/>
    </row>
    <row r="7" ht="90" customHeight="1" spans="1:18">
      <c r="A7" s="25"/>
      <c r="B7" s="18" t="s">
        <v>193</v>
      </c>
      <c r="C7" s="19"/>
      <c r="D7" s="19"/>
      <c r="E7" s="19"/>
      <c r="F7" s="20"/>
      <c r="G7" s="21"/>
      <c r="H7" s="22"/>
      <c r="I7" s="23"/>
      <c r="J7" s="26">
        <v>2</v>
      </c>
      <c r="K7" s="27">
        <v>2</v>
      </c>
      <c r="L7" s="21"/>
      <c r="M7" s="21"/>
      <c r="O7" s="26">
        <v>2</v>
      </c>
      <c r="P7" s="27">
        <v>2</v>
      </c>
      <c r="Q7" s="21"/>
      <c r="R7" s="21"/>
    </row>
    <row r="8" ht="123" customHeight="1" spans="1:18">
      <c r="A8" s="25"/>
      <c r="B8" s="28" t="s">
        <v>194</v>
      </c>
      <c r="C8" s="29"/>
      <c r="D8" s="29"/>
      <c r="E8" s="29"/>
      <c r="F8" s="30"/>
      <c r="G8" s="21"/>
      <c r="H8" s="31" t="s">
        <v>195</v>
      </c>
      <c r="I8" s="32"/>
      <c r="J8" s="26"/>
      <c r="K8" s="27"/>
      <c r="L8" s="21"/>
      <c r="M8" s="21"/>
      <c r="O8" s="26"/>
      <c r="P8" s="27"/>
      <c r="Q8" s="21"/>
      <c r="R8" s="21"/>
    </row>
    <row r="9" ht="99" customHeight="1" spans="1:18">
      <c r="A9" s="25"/>
      <c r="B9" s="18" t="s">
        <v>196</v>
      </c>
      <c r="C9" s="19"/>
      <c r="D9" s="19"/>
      <c r="E9" s="19"/>
      <c r="F9" s="20"/>
      <c r="G9" s="21"/>
      <c r="H9" s="22"/>
      <c r="I9" s="23"/>
      <c r="J9" s="26">
        <v>2</v>
      </c>
      <c r="K9" s="27">
        <v>2</v>
      </c>
      <c r="L9" s="21"/>
      <c r="M9" s="21"/>
      <c r="O9" s="26">
        <v>2</v>
      </c>
      <c r="P9" s="27">
        <v>2</v>
      </c>
      <c r="Q9" s="21"/>
      <c r="R9" s="21"/>
    </row>
    <row r="10" ht="84" customHeight="1" spans="1:18">
      <c r="A10" s="25"/>
      <c r="B10" s="18" t="s">
        <v>197</v>
      </c>
      <c r="C10" s="19"/>
      <c r="D10" s="19"/>
      <c r="E10" s="19"/>
      <c r="F10" s="20"/>
      <c r="G10" s="33"/>
      <c r="H10" s="22"/>
      <c r="I10" s="23"/>
      <c r="J10" s="34">
        <v>2</v>
      </c>
      <c r="K10" s="35">
        <v>2</v>
      </c>
      <c r="L10" s="36"/>
      <c r="M10" s="37"/>
      <c r="O10" s="38">
        <v>2</v>
      </c>
      <c r="P10" s="39">
        <v>2</v>
      </c>
      <c r="Q10" s="40"/>
      <c r="R10" s="41"/>
    </row>
    <row r="11" ht="57" customHeight="1" spans="1:18">
      <c r="A11" s="42"/>
      <c r="B11" s="18" t="s">
        <v>198</v>
      </c>
      <c r="C11" s="19"/>
      <c r="D11" s="19"/>
      <c r="E11" s="19"/>
      <c r="F11" s="20"/>
      <c r="G11" s="33"/>
      <c r="H11" s="22"/>
      <c r="I11" s="23"/>
      <c r="J11" s="34">
        <v>2</v>
      </c>
      <c r="K11" s="35">
        <v>2</v>
      </c>
      <c r="L11" s="36"/>
      <c r="M11" s="37"/>
      <c r="O11" s="38">
        <v>2</v>
      </c>
      <c r="P11" s="39">
        <v>2</v>
      </c>
      <c r="Q11" s="40"/>
      <c r="R11" s="41"/>
    </row>
    <row r="12" ht="194" customHeight="1" spans="1:18">
      <c r="A12" s="37" t="s">
        <v>199</v>
      </c>
      <c r="B12" s="43" t="s">
        <v>200</v>
      </c>
      <c r="C12" s="33"/>
      <c r="D12" s="33"/>
      <c r="E12" s="33"/>
      <c r="F12" s="33"/>
      <c r="G12" s="33"/>
      <c r="H12" s="44" t="s">
        <v>201</v>
      </c>
      <c r="I12" s="44"/>
      <c r="J12" s="45"/>
      <c r="K12" s="36"/>
      <c r="L12" s="36"/>
      <c r="M12" s="37">
        <v>3</v>
      </c>
      <c r="O12" s="24"/>
      <c r="P12" s="24"/>
      <c r="Q12" s="40"/>
      <c r="R12" s="41">
        <v>1</v>
      </c>
    </row>
    <row r="13" ht="309" customHeight="1" spans="1:18">
      <c r="A13" s="37"/>
      <c r="B13" s="26" t="s">
        <v>202</v>
      </c>
      <c r="C13" s="33"/>
      <c r="D13" s="33"/>
      <c r="E13" s="33"/>
      <c r="F13" s="33"/>
      <c r="G13" s="33"/>
      <c r="H13" s="44"/>
      <c r="I13" s="44"/>
      <c r="J13" s="45">
        <v>2</v>
      </c>
      <c r="K13" s="36">
        <v>3</v>
      </c>
      <c r="L13" s="36"/>
      <c r="M13" s="37"/>
      <c r="O13" s="24">
        <v>2</v>
      </c>
      <c r="P13" s="24">
        <v>2</v>
      </c>
      <c r="Q13" s="40"/>
      <c r="R13" s="41"/>
    </row>
    <row r="14" ht="137" customHeight="1" spans="1:18">
      <c r="A14" s="37"/>
      <c r="B14" s="46" t="s">
        <v>203</v>
      </c>
      <c r="C14" s="45"/>
      <c r="D14" s="45"/>
      <c r="E14" s="45"/>
      <c r="F14" s="45"/>
      <c r="G14" s="45"/>
      <c r="H14" s="44"/>
      <c r="I14" s="44"/>
      <c r="J14" s="45">
        <v>3</v>
      </c>
      <c r="K14" s="36">
        <v>3</v>
      </c>
      <c r="L14" s="36"/>
      <c r="M14" s="37"/>
      <c r="O14" s="24">
        <v>2</v>
      </c>
      <c r="P14" s="24">
        <v>2</v>
      </c>
      <c r="Q14" s="40"/>
      <c r="R14" s="41"/>
    </row>
    <row r="15" ht="44" customHeight="1" spans="1:18">
      <c r="A15" s="37"/>
      <c r="B15" s="43" t="s">
        <v>204</v>
      </c>
      <c r="C15" s="33"/>
      <c r="D15" s="33"/>
      <c r="E15" s="33"/>
      <c r="F15" s="33"/>
      <c r="G15" s="33"/>
      <c r="H15" s="44"/>
      <c r="I15" s="44"/>
      <c r="J15" s="45">
        <v>2</v>
      </c>
      <c r="K15" s="36">
        <v>2</v>
      </c>
      <c r="L15" s="36"/>
      <c r="M15" s="37"/>
      <c r="O15" s="24">
        <v>1</v>
      </c>
      <c r="P15" s="24">
        <v>1</v>
      </c>
      <c r="Q15" s="40"/>
      <c r="R15" s="41"/>
    </row>
    <row r="16" ht="108" customHeight="1" spans="1:18">
      <c r="A16" s="37"/>
      <c r="B16" s="44" t="s">
        <v>205</v>
      </c>
      <c r="C16" s="45"/>
      <c r="D16" s="45"/>
      <c r="E16" s="45"/>
      <c r="F16" s="45"/>
      <c r="G16" s="45"/>
      <c r="H16" s="44"/>
      <c r="I16" s="44"/>
      <c r="J16" s="45">
        <v>3</v>
      </c>
      <c r="K16" s="36">
        <v>3</v>
      </c>
      <c r="L16" s="36"/>
      <c r="M16" s="37"/>
      <c r="O16" s="24">
        <v>2</v>
      </c>
      <c r="P16" s="24">
        <v>1</v>
      </c>
      <c r="Q16" s="40"/>
      <c r="R16" s="41"/>
    </row>
    <row r="17" ht="159" customHeight="1" spans="1:18">
      <c r="A17" s="37" t="s">
        <v>206</v>
      </c>
      <c r="B17" s="44" t="s">
        <v>207</v>
      </c>
      <c r="C17" s="45"/>
      <c r="D17" s="45"/>
      <c r="E17" s="45"/>
      <c r="F17" s="45"/>
      <c r="G17" s="45"/>
      <c r="H17" s="44"/>
      <c r="I17" s="44"/>
      <c r="J17" s="45"/>
      <c r="K17" s="36"/>
      <c r="L17" s="36"/>
      <c r="M17" s="36"/>
      <c r="O17" s="24"/>
      <c r="P17" s="24"/>
      <c r="Q17" s="40"/>
      <c r="R17" s="40"/>
    </row>
    <row r="18" ht="118" customHeight="1" spans="1:18">
      <c r="A18" s="37"/>
      <c r="B18" s="46" t="s">
        <v>208</v>
      </c>
      <c r="C18" s="45"/>
      <c r="D18" s="45"/>
      <c r="E18" s="45"/>
      <c r="F18" s="45"/>
      <c r="G18" s="45"/>
      <c r="H18" s="44" t="s">
        <v>209</v>
      </c>
      <c r="I18" s="44"/>
      <c r="J18" s="45">
        <v>3</v>
      </c>
      <c r="K18" s="36">
        <v>8</v>
      </c>
      <c r="L18" s="36"/>
      <c r="M18" s="37">
        <v>3</v>
      </c>
      <c r="O18" s="24">
        <v>3</v>
      </c>
      <c r="P18" s="24">
        <v>4</v>
      </c>
      <c r="Q18" s="40"/>
      <c r="R18" s="41">
        <v>1</v>
      </c>
    </row>
    <row r="19" ht="118" customHeight="1" spans="1:18">
      <c r="A19" s="37"/>
      <c r="B19" s="44" t="s">
        <v>210</v>
      </c>
      <c r="C19" s="45"/>
      <c r="D19" s="45"/>
      <c r="E19" s="45"/>
      <c r="F19" s="45"/>
      <c r="G19" s="45"/>
      <c r="H19" s="44"/>
      <c r="I19" s="44"/>
      <c r="J19" s="45">
        <v>3</v>
      </c>
      <c r="K19" s="36">
        <v>5</v>
      </c>
      <c r="L19" s="36"/>
      <c r="M19" s="37"/>
      <c r="O19" s="24">
        <v>2</v>
      </c>
      <c r="P19" s="24">
        <v>3</v>
      </c>
      <c r="Q19" s="40"/>
      <c r="R19" s="41"/>
    </row>
    <row r="20" ht="408" customHeight="1" spans="1:18">
      <c r="A20" s="37"/>
      <c r="B20" s="46" t="s">
        <v>211</v>
      </c>
      <c r="C20" s="45"/>
      <c r="D20" s="45"/>
      <c r="E20" s="45"/>
      <c r="F20" s="45"/>
      <c r="G20" s="45"/>
      <c r="H20" s="44"/>
      <c r="I20" s="44"/>
      <c r="J20" s="45">
        <v>0</v>
      </c>
      <c r="K20" s="36">
        <v>12</v>
      </c>
      <c r="L20" s="36"/>
      <c r="M20" s="37">
        <v>5</v>
      </c>
      <c r="O20" s="24">
        <v>2</v>
      </c>
      <c r="P20" s="24">
        <v>6</v>
      </c>
      <c r="Q20" s="40"/>
      <c r="R20" s="41">
        <v>1</v>
      </c>
    </row>
    <row r="21" ht="409" customHeight="1" spans="1:18">
      <c r="A21" s="37"/>
      <c r="B21" s="46" t="s">
        <v>212</v>
      </c>
      <c r="C21" s="45"/>
      <c r="D21" s="45"/>
      <c r="E21" s="45"/>
      <c r="F21" s="45"/>
      <c r="G21" s="45"/>
      <c r="H21" s="44" t="s">
        <v>213</v>
      </c>
      <c r="I21" s="44"/>
      <c r="J21" s="45">
        <v>8</v>
      </c>
      <c r="K21" s="36">
        <v>12</v>
      </c>
      <c r="L21" s="36"/>
      <c r="M21" s="37"/>
      <c r="O21" s="24">
        <v>3</v>
      </c>
      <c r="P21" s="24">
        <v>6</v>
      </c>
      <c r="Q21" s="40"/>
      <c r="R21" s="41"/>
    </row>
    <row r="22" ht="93" customHeight="1" spans="1:18">
      <c r="A22" s="37"/>
      <c r="B22" s="44" t="s">
        <v>214</v>
      </c>
      <c r="C22" s="45"/>
      <c r="D22" s="45"/>
      <c r="E22" s="45"/>
      <c r="F22" s="45"/>
      <c r="G22" s="45"/>
      <c r="H22" s="44"/>
      <c r="I22" s="44"/>
      <c r="J22" s="45">
        <v>1</v>
      </c>
      <c r="K22" s="36">
        <v>3</v>
      </c>
      <c r="L22" s="36"/>
      <c r="M22" s="37"/>
      <c r="O22" s="24">
        <v>2</v>
      </c>
      <c r="P22" s="24">
        <v>1</v>
      </c>
      <c r="Q22" s="40"/>
      <c r="R22" s="41"/>
    </row>
    <row r="23" ht="110" customHeight="1" spans="1:18">
      <c r="A23" s="47" t="s">
        <v>215</v>
      </c>
      <c r="B23" s="44" t="s">
        <v>216</v>
      </c>
      <c r="C23" s="45"/>
      <c r="D23" s="45"/>
      <c r="E23" s="45"/>
      <c r="F23" s="45"/>
      <c r="G23" s="45"/>
      <c r="H23" s="44"/>
      <c r="I23" s="44"/>
      <c r="J23" s="45"/>
      <c r="K23" s="36"/>
      <c r="L23" s="36"/>
      <c r="M23" s="36"/>
      <c r="O23" s="24"/>
      <c r="P23" s="24"/>
      <c r="Q23" s="40"/>
      <c r="R23" s="40"/>
    </row>
    <row r="24" ht="409" customHeight="1" spans="1:18">
      <c r="A24" s="48"/>
      <c r="B24" s="46" t="s">
        <v>217</v>
      </c>
      <c r="C24" s="45"/>
      <c r="D24" s="45"/>
      <c r="E24" s="45"/>
      <c r="F24" s="45"/>
      <c r="G24" s="45"/>
      <c r="H24" s="44" t="s">
        <v>218</v>
      </c>
      <c r="I24" s="44"/>
      <c r="J24" s="45">
        <v>2</v>
      </c>
      <c r="K24" s="36">
        <v>6</v>
      </c>
      <c r="L24" s="36"/>
      <c r="M24" s="37">
        <v>4</v>
      </c>
      <c r="O24" s="38">
        <v>2</v>
      </c>
      <c r="P24" s="24">
        <v>3</v>
      </c>
      <c r="Q24" s="40"/>
      <c r="R24" s="41">
        <v>1</v>
      </c>
    </row>
    <row r="25" ht="408" customHeight="1" spans="1:18">
      <c r="A25" s="48"/>
      <c r="B25" s="44" t="s">
        <v>219</v>
      </c>
      <c r="C25" s="45"/>
      <c r="D25" s="45"/>
      <c r="E25" s="45"/>
      <c r="F25" s="45"/>
      <c r="G25" s="45"/>
      <c r="H25" s="44"/>
      <c r="I25" s="44"/>
      <c r="J25" s="45">
        <v>2</v>
      </c>
      <c r="K25" s="36">
        <v>2</v>
      </c>
      <c r="L25" s="36"/>
      <c r="M25" s="37"/>
      <c r="O25" s="38">
        <v>2</v>
      </c>
      <c r="P25" s="24">
        <v>2</v>
      </c>
      <c r="Q25" s="40"/>
      <c r="R25" s="41"/>
    </row>
    <row r="26" ht="408" customHeight="1" spans="1:18">
      <c r="A26" s="48"/>
      <c r="B26" s="44" t="s">
        <v>220</v>
      </c>
      <c r="C26" s="45"/>
      <c r="D26" s="45"/>
      <c r="E26" s="45"/>
      <c r="F26" s="45"/>
      <c r="G26" s="45"/>
      <c r="H26" s="44" t="s">
        <v>221</v>
      </c>
      <c r="I26" s="44"/>
      <c r="J26" s="45">
        <v>3</v>
      </c>
      <c r="K26" s="36">
        <v>5</v>
      </c>
      <c r="L26" s="36"/>
      <c r="M26" s="37"/>
      <c r="O26" s="38">
        <v>2</v>
      </c>
      <c r="P26" s="24">
        <v>3</v>
      </c>
      <c r="Q26" s="40"/>
      <c r="R26" s="41"/>
    </row>
    <row r="27" ht="374" customHeight="1" spans="1:18">
      <c r="A27" s="48"/>
      <c r="B27" s="44" t="s">
        <v>222</v>
      </c>
      <c r="C27" s="45"/>
      <c r="D27" s="45"/>
      <c r="E27" s="45"/>
      <c r="F27" s="45"/>
      <c r="G27" s="45"/>
      <c r="H27" s="44"/>
      <c r="I27" s="44"/>
      <c r="J27" s="45">
        <v>0</v>
      </c>
      <c r="K27" s="36">
        <v>2</v>
      </c>
      <c r="L27" s="36"/>
      <c r="M27" s="37"/>
      <c r="O27" s="38">
        <v>2</v>
      </c>
      <c r="P27" s="24">
        <v>1</v>
      </c>
      <c r="Q27" s="40"/>
      <c r="R27" s="41"/>
    </row>
    <row r="28" ht="409" customHeight="1" spans="1:18">
      <c r="A28" s="48"/>
      <c r="B28" s="44" t="s">
        <v>223</v>
      </c>
      <c r="C28" s="45"/>
      <c r="D28" s="45"/>
      <c r="E28" s="45"/>
      <c r="F28" s="45"/>
      <c r="G28" s="45"/>
      <c r="H28" s="44" t="s">
        <v>224</v>
      </c>
      <c r="I28" s="44"/>
      <c r="J28" s="45">
        <v>5</v>
      </c>
      <c r="K28" s="36">
        <v>2</v>
      </c>
      <c r="L28" s="36"/>
      <c r="M28" s="37"/>
      <c r="O28" s="38">
        <v>3</v>
      </c>
      <c r="P28" s="24">
        <v>1</v>
      </c>
      <c r="Q28" s="40"/>
      <c r="R28" s="41"/>
    </row>
    <row r="29" ht="36" customHeight="1" spans="1:18">
      <c r="A29" s="49"/>
      <c r="B29" s="18" t="s">
        <v>225</v>
      </c>
      <c r="C29" s="19"/>
      <c r="D29" s="19"/>
      <c r="E29" s="19"/>
      <c r="F29" s="20"/>
      <c r="G29" s="45"/>
      <c r="H29" s="50"/>
      <c r="I29" s="51"/>
      <c r="J29" s="45">
        <v>2</v>
      </c>
      <c r="K29" s="36">
        <v>3</v>
      </c>
      <c r="L29" s="36"/>
      <c r="M29" s="37">
        <v>1</v>
      </c>
      <c r="O29" s="38">
        <v>1</v>
      </c>
      <c r="P29" s="24">
        <v>1</v>
      </c>
      <c r="Q29" s="40"/>
      <c r="R29" s="41">
        <v>1</v>
      </c>
    </row>
    <row r="30" ht="116" customHeight="1" spans="1:18">
      <c r="A30" s="52" t="s">
        <v>226</v>
      </c>
      <c r="B30" s="44" t="s">
        <v>227</v>
      </c>
      <c r="C30" s="45"/>
      <c r="D30" s="45"/>
      <c r="E30" s="45"/>
      <c r="F30" s="45"/>
      <c r="G30" s="45"/>
      <c r="H30" s="44"/>
      <c r="I30" s="44"/>
      <c r="J30" s="45"/>
      <c r="K30" s="36"/>
      <c r="L30" s="36"/>
      <c r="M30" s="36"/>
      <c r="O30" s="38"/>
      <c r="P30" s="24"/>
      <c r="Q30" s="40"/>
      <c r="R30" s="40"/>
    </row>
    <row r="31" ht="101" customHeight="1" spans="1:18">
      <c r="A31" s="52"/>
      <c r="B31" s="44" t="s">
        <v>228</v>
      </c>
      <c r="C31" s="45"/>
      <c r="D31" s="45"/>
      <c r="E31" s="45"/>
      <c r="F31" s="45"/>
      <c r="G31" s="45"/>
      <c r="H31" s="44"/>
      <c r="I31" s="44"/>
      <c r="J31" s="45">
        <v>3</v>
      </c>
      <c r="K31" s="36">
        <v>6</v>
      </c>
      <c r="L31" s="36"/>
      <c r="M31" s="37">
        <v>3</v>
      </c>
      <c r="O31" s="38">
        <v>2</v>
      </c>
      <c r="P31" s="24">
        <v>3</v>
      </c>
      <c r="Q31" s="40"/>
      <c r="R31" s="41">
        <v>1</v>
      </c>
    </row>
    <row r="32" ht="123" customHeight="1" spans="1:18">
      <c r="A32" s="52"/>
      <c r="B32" s="44" t="s">
        <v>229</v>
      </c>
      <c r="C32" s="45"/>
      <c r="D32" s="45"/>
      <c r="E32" s="45"/>
      <c r="F32" s="45"/>
      <c r="G32" s="45"/>
      <c r="H32" s="44"/>
      <c r="I32" s="44"/>
      <c r="J32" s="45">
        <v>3</v>
      </c>
      <c r="K32" s="36">
        <v>4</v>
      </c>
      <c r="L32" s="36"/>
      <c r="M32" s="37"/>
      <c r="O32" s="38">
        <v>2</v>
      </c>
      <c r="P32" s="24">
        <v>2</v>
      </c>
      <c r="Q32" s="40"/>
      <c r="R32" s="41"/>
    </row>
    <row r="33" ht="64" customHeight="1" spans="1:18">
      <c r="A33" s="52"/>
      <c r="B33" s="44" t="s">
        <v>230</v>
      </c>
      <c r="C33" s="45"/>
      <c r="D33" s="45"/>
      <c r="E33" s="45"/>
      <c r="F33" s="45"/>
      <c r="G33" s="45"/>
      <c r="H33" s="44"/>
      <c r="I33" s="44"/>
      <c r="J33" s="45">
        <v>0.5</v>
      </c>
      <c r="K33" s="36">
        <v>0</v>
      </c>
      <c r="L33" s="36"/>
      <c r="M33" s="37"/>
      <c r="O33" s="38">
        <v>1</v>
      </c>
      <c r="P33" s="24"/>
      <c r="Q33" s="40"/>
      <c r="R33" s="41"/>
    </row>
    <row r="34" ht="267" customHeight="1" spans="1:18">
      <c r="A34" s="52"/>
      <c r="B34" s="44" t="s">
        <v>231</v>
      </c>
      <c r="C34" s="45"/>
      <c r="D34" s="45"/>
      <c r="E34" s="45"/>
      <c r="F34" s="45"/>
      <c r="G34" s="45"/>
      <c r="H34" s="44"/>
      <c r="I34" s="44"/>
      <c r="J34" s="45">
        <v>5</v>
      </c>
      <c r="K34" s="36">
        <v>12</v>
      </c>
      <c r="L34" s="36"/>
      <c r="M34" s="36">
        <v>4</v>
      </c>
      <c r="O34" s="38">
        <v>2</v>
      </c>
      <c r="P34" s="24">
        <v>5</v>
      </c>
      <c r="Q34" s="40"/>
      <c r="R34" s="40">
        <v>1</v>
      </c>
    </row>
    <row r="35" ht="249" customHeight="1" spans="1:18">
      <c r="A35" s="52"/>
      <c r="B35" s="44" t="s">
        <v>232</v>
      </c>
      <c r="C35" s="45"/>
      <c r="D35" s="45"/>
      <c r="E35" s="45"/>
      <c r="F35" s="45"/>
      <c r="G35" s="45"/>
      <c r="H35" s="44" t="s">
        <v>233</v>
      </c>
      <c r="I35" s="44"/>
      <c r="J35" s="45">
        <v>8</v>
      </c>
      <c r="K35" s="36">
        <v>8</v>
      </c>
      <c r="L35" s="36"/>
      <c r="M35" s="36">
        <v>3</v>
      </c>
      <c r="O35" s="38">
        <v>3</v>
      </c>
      <c r="P35" s="24">
        <v>4</v>
      </c>
      <c r="Q35" s="40"/>
      <c r="R35" s="40">
        <v>1</v>
      </c>
    </row>
    <row r="36" ht="112" customHeight="1" spans="1:18">
      <c r="A36" s="37" t="s">
        <v>234</v>
      </c>
      <c r="B36" s="44" t="s">
        <v>235</v>
      </c>
      <c r="C36" s="45"/>
      <c r="D36" s="45"/>
      <c r="E36" s="45"/>
      <c r="F36" s="45"/>
      <c r="G36" s="45"/>
      <c r="H36" s="44"/>
      <c r="I36" s="44"/>
      <c r="J36" s="45"/>
      <c r="K36" s="36"/>
      <c r="L36" s="36"/>
      <c r="M36" s="36"/>
      <c r="O36" s="38"/>
      <c r="P36" s="24"/>
      <c r="Q36" s="40"/>
      <c r="R36" s="40"/>
    </row>
    <row r="37" ht="58" customHeight="1" spans="1:18">
      <c r="A37" s="37"/>
      <c r="B37" s="44" t="s">
        <v>236</v>
      </c>
      <c r="C37" s="45"/>
      <c r="D37" s="45"/>
      <c r="E37" s="45"/>
      <c r="F37" s="45"/>
      <c r="G37" s="45"/>
      <c r="H37" s="44"/>
      <c r="I37" s="44"/>
      <c r="J37" s="45">
        <v>2</v>
      </c>
      <c r="K37" s="36">
        <v>8</v>
      </c>
      <c r="L37" s="36"/>
      <c r="M37" s="37">
        <v>3</v>
      </c>
      <c r="O37" s="38">
        <v>1</v>
      </c>
      <c r="P37" s="24">
        <v>4</v>
      </c>
      <c r="Q37" s="40"/>
      <c r="R37" s="41">
        <v>1</v>
      </c>
    </row>
    <row r="38" ht="199" customHeight="1" spans="1:18">
      <c r="A38" s="37"/>
      <c r="B38" s="44" t="s">
        <v>237</v>
      </c>
      <c r="C38" s="45"/>
      <c r="D38" s="45"/>
      <c r="E38" s="45"/>
      <c r="F38" s="45"/>
      <c r="G38" s="45"/>
      <c r="H38" s="44" t="s">
        <v>238</v>
      </c>
      <c r="I38" s="44"/>
      <c r="J38" s="45">
        <v>2</v>
      </c>
      <c r="K38" s="36">
        <v>3</v>
      </c>
      <c r="L38" s="36"/>
      <c r="M38" s="37"/>
      <c r="O38" s="38">
        <v>1</v>
      </c>
      <c r="P38" s="24">
        <v>2</v>
      </c>
      <c r="Q38" s="40"/>
      <c r="R38" s="41"/>
    </row>
    <row r="39" ht="68" customHeight="1" spans="1:18">
      <c r="A39" s="37"/>
      <c r="B39" s="44" t="s">
        <v>239</v>
      </c>
      <c r="C39" s="45"/>
      <c r="D39" s="45"/>
      <c r="E39" s="45"/>
      <c r="F39" s="45"/>
      <c r="G39" s="45"/>
      <c r="H39" s="44"/>
      <c r="I39" s="44"/>
      <c r="J39" s="45">
        <v>0.5</v>
      </c>
      <c r="K39" s="36">
        <v>0</v>
      </c>
      <c r="L39" s="36"/>
      <c r="M39" s="37"/>
      <c r="O39" s="38">
        <v>1</v>
      </c>
      <c r="P39" s="24">
        <v>1</v>
      </c>
      <c r="Q39" s="40"/>
      <c r="R39" s="41"/>
    </row>
    <row r="40" ht="223" customHeight="1" spans="1:18">
      <c r="A40" s="37"/>
      <c r="B40" s="44" t="s">
        <v>240</v>
      </c>
      <c r="C40" s="45"/>
      <c r="D40" s="45"/>
      <c r="E40" s="45"/>
      <c r="F40" s="45"/>
      <c r="G40" s="45"/>
      <c r="H40" s="44" t="s">
        <v>241</v>
      </c>
      <c r="I40" s="44"/>
      <c r="J40" s="45">
        <v>3</v>
      </c>
      <c r="K40" s="36">
        <v>5</v>
      </c>
      <c r="L40" s="36"/>
      <c r="M40" s="36">
        <v>1</v>
      </c>
      <c r="O40" s="38">
        <v>2</v>
      </c>
      <c r="P40" s="24">
        <v>3</v>
      </c>
      <c r="Q40" s="40"/>
      <c r="R40" s="40">
        <v>1</v>
      </c>
    </row>
    <row r="41" ht="408" customHeight="1" spans="1:18">
      <c r="A41" s="37"/>
      <c r="B41" s="44" t="s">
        <v>242</v>
      </c>
      <c r="C41" s="45"/>
      <c r="D41" s="45"/>
      <c r="E41" s="45"/>
      <c r="F41" s="45"/>
      <c r="G41" s="45"/>
      <c r="H41" s="44"/>
      <c r="I41" s="44"/>
      <c r="J41" s="45">
        <v>4</v>
      </c>
      <c r="K41" s="36">
        <v>3</v>
      </c>
      <c r="L41" s="36"/>
      <c r="M41" s="36">
        <v>2</v>
      </c>
      <c r="O41" s="38">
        <v>3</v>
      </c>
      <c r="P41" s="24">
        <v>2</v>
      </c>
      <c r="Q41" s="40"/>
      <c r="R41" s="40">
        <v>1</v>
      </c>
    </row>
    <row r="42" ht="111" customHeight="1" spans="1:18">
      <c r="A42" s="37" t="s">
        <v>243</v>
      </c>
      <c r="B42" s="44" t="s">
        <v>244</v>
      </c>
      <c r="C42" s="45"/>
      <c r="D42" s="45"/>
      <c r="E42" s="45"/>
      <c r="F42" s="45"/>
      <c r="G42" s="45"/>
      <c r="H42" s="44"/>
      <c r="I42" s="44"/>
      <c r="J42" s="45"/>
      <c r="K42" s="36"/>
      <c r="L42" s="36"/>
      <c r="M42" s="36"/>
      <c r="O42" s="38"/>
      <c r="P42" s="24"/>
      <c r="Q42" s="40"/>
      <c r="R42" s="40"/>
    </row>
    <row r="43" ht="56" customHeight="1" spans="1:18">
      <c r="A43" s="37"/>
      <c r="B43" s="44" t="s">
        <v>245</v>
      </c>
      <c r="C43" s="45"/>
      <c r="D43" s="45"/>
      <c r="E43" s="45"/>
      <c r="F43" s="45"/>
      <c r="G43" s="45"/>
      <c r="H43" s="44"/>
      <c r="I43" s="44"/>
      <c r="J43" s="45">
        <v>1</v>
      </c>
      <c r="K43" s="36">
        <v>2</v>
      </c>
      <c r="L43" s="36"/>
      <c r="M43" s="37">
        <v>3</v>
      </c>
      <c r="O43" s="38">
        <v>1</v>
      </c>
      <c r="P43" s="24">
        <v>1</v>
      </c>
      <c r="Q43" s="40"/>
      <c r="R43" s="41">
        <v>1</v>
      </c>
    </row>
    <row r="44" ht="198" customHeight="1" spans="1:18">
      <c r="A44" s="37"/>
      <c r="B44" s="44" t="s">
        <v>246</v>
      </c>
      <c r="C44" s="45"/>
      <c r="D44" s="45"/>
      <c r="E44" s="45"/>
      <c r="F44" s="45"/>
      <c r="G44" s="45"/>
      <c r="H44" s="44"/>
      <c r="I44" s="44"/>
      <c r="J44" s="45">
        <v>2</v>
      </c>
      <c r="K44" s="36">
        <v>4</v>
      </c>
      <c r="L44" s="36"/>
      <c r="M44" s="37"/>
      <c r="O44" s="38">
        <v>1</v>
      </c>
      <c r="P44" s="24">
        <v>1</v>
      </c>
      <c r="Q44" s="40"/>
      <c r="R44" s="41"/>
    </row>
    <row r="45" ht="61" customHeight="1" spans="1:18">
      <c r="A45" s="37"/>
      <c r="B45" s="44" t="s">
        <v>247</v>
      </c>
      <c r="C45" s="45"/>
      <c r="D45" s="45"/>
      <c r="E45" s="45"/>
      <c r="F45" s="45"/>
      <c r="G45" s="45"/>
      <c r="H45" s="44"/>
      <c r="I45" s="44"/>
      <c r="J45" s="45">
        <v>2</v>
      </c>
      <c r="K45" s="36">
        <v>3</v>
      </c>
      <c r="L45" s="36"/>
      <c r="M45" s="37"/>
      <c r="O45" s="38">
        <v>1</v>
      </c>
      <c r="P45" s="24"/>
      <c r="Q45" s="40"/>
      <c r="R45" s="41"/>
    </row>
    <row r="46" ht="76" customHeight="1" spans="1:18">
      <c r="A46" s="37"/>
      <c r="B46" s="44" t="s">
        <v>248</v>
      </c>
      <c r="C46" s="45"/>
      <c r="D46" s="45"/>
      <c r="E46" s="45"/>
      <c r="F46" s="45"/>
      <c r="G46" s="45"/>
      <c r="H46" s="44"/>
      <c r="I46" s="44"/>
      <c r="J46" s="45">
        <v>2</v>
      </c>
      <c r="K46" s="36">
        <v>3</v>
      </c>
      <c r="L46" s="36"/>
      <c r="M46" s="37"/>
      <c r="O46" s="38">
        <v>1</v>
      </c>
      <c r="P46" s="24">
        <v>1</v>
      </c>
      <c r="Q46" s="40"/>
      <c r="R46" s="41"/>
    </row>
    <row r="47" ht="96" customHeight="1" spans="1:18">
      <c r="A47" s="37"/>
      <c r="B47" s="44" t="s">
        <v>249</v>
      </c>
      <c r="C47" s="45"/>
      <c r="D47" s="45"/>
      <c r="E47" s="45"/>
      <c r="F47" s="45"/>
      <c r="G47" s="45"/>
      <c r="H47" s="44" t="s">
        <v>250</v>
      </c>
      <c r="I47" s="44"/>
      <c r="J47" s="45">
        <v>2</v>
      </c>
      <c r="K47" s="36">
        <v>3</v>
      </c>
      <c r="L47" s="36"/>
      <c r="M47" s="37"/>
      <c r="O47" s="38">
        <v>1</v>
      </c>
      <c r="P47" s="24"/>
      <c r="Q47" s="40"/>
      <c r="R47" s="41"/>
    </row>
    <row r="48" ht="125" customHeight="1" spans="1:18">
      <c r="A48" s="37" t="s">
        <v>251</v>
      </c>
      <c r="B48" s="44" t="s">
        <v>252</v>
      </c>
      <c r="C48" s="45"/>
      <c r="D48" s="45"/>
      <c r="E48" s="45"/>
      <c r="F48" s="45"/>
      <c r="G48" s="45"/>
      <c r="H48" s="44"/>
      <c r="I48" s="44"/>
      <c r="J48" s="45"/>
      <c r="K48" s="36"/>
      <c r="L48" s="36"/>
      <c r="M48" s="36"/>
      <c r="O48" s="38"/>
      <c r="P48" s="24"/>
      <c r="Q48" s="40"/>
      <c r="R48" s="40"/>
    </row>
    <row r="49" ht="174" customHeight="1" spans="1:18">
      <c r="A49" s="37"/>
      <c r="B49" s="44" t="s">
        <v>253</v>
      </c>
      <c r="C49" s="45"/>
      <c r="D49" s="45"/>
      <c r="E49" s="45"/>
      <c r="F49" s="45"/>
      <c r="G49" s="45"/>
      <c r="H49" s="44" t="s">
        <v>254</v>
      </c>
      <c r="I49" s="44"/>
      <c r="J49" s="45">
        <v>2</v>
      </c>
      <c r="K49" s="36">
        <v>8</v>
      </c>
      <c r="L49" s="36"/>
      <c r="M49" s="37">
        <v>3</v>
      </c>
      <c r="O49" s="38">
        <v>1</v>
      </c>
      <c r="P49" s="24">
        <v>1</v>
      </c>
      <c r="Q49" s="40"/>
      <c r="R49" s="41">
        <v>1</v>
      </c>
    </row>
    <row r="50" ht="93" customHeight="1" spans="1:18">
      <c r="A50" s="37"/>
      <c r="B50" s="44" t="s">
        <v>255</v>
      </c>
      <c r="C50" s="45"/>
      <c r="D50" s="45"/>
      <c r="E50" s="45"/>
      <c r="F50" s="45"/>
      <c r="G50" s="45"/>
      <c r="H50" s="44"/>
      <c r="I50" s="44"/>
      <c r="J50" s="45">
        <v>3</v>
      </c>
      <c r="K50" s="36">
        <v>3</v>
      </c>
      <c r="L50" s="36"/>
      <c r="M50" s="37"/>
      <c r="O50" s="38">
        <v>1</v>
      </c>
      <c r="P50" s="24">
        <v>1</v>
      </c>
      <c r="Q50" s="40"/>
      <c r="R50" s="41"/>
    </row>
    <row r="51" ht="342" customHeight="1" spans="1:18">
      <c r="A51" s="37"/>
      <c r="B51" s="46" t="s">
        <v>256</v>
      </c>
      <c r="C51" s="45"/>
      <c r="D51" s="45"/>
      <c r="E51" s="45"/>
      <c r="F51" s="45"/>
      <c r="G51" s="45"/>
      <c r="H51" s="44"/>
      <c r="I51" s="44"/>
      <c r="J51" s="45">
        <v>5</v>
      </c>
      <c r="K51" s="36">
        <v>10</v>
      </c>
      <c r="L51" s="36"/>
      <c r="M51" s="37">
        <v>4</v>
      </c>
      <c r="O51" s="38">
        <v>2</v>
      </c>
      <c r="P51" s="24">
        <v>1</v>
      </c>
      <c r="Q51" s="40"/>
      <c r="R51" s="41">
        <v>1</v>
      </c>
    </row>
    <row r="52" ht="89" customHeight="1" spans="1:18">
      <c r="A52" s="37"/>
      <c r="B52" s="44" t="s">
        <v>257</v>
      </c>
      <c r="C52" s="45"/>
      <c r="D52" s="45"/>
      <c r="E52" s="45"/>
      <c r="F52" s="45"/>
      <c r="G52" s="45"/>
      <c r="H52" s="44"/>
      <c r="I52" s="44"/>
      <c r="J52" s="45">
        <v>2</v>
      </c>
      <c r="K52" s="36">
        <v>3</v>
      </c>
      <c r="L52" s="36"/>
      <c r="M52" s="37"/>
      <c r="O52" s="38">
        <v>1</v>
      </c>
      <c r="P52" s="24">
        <v>1</v>
      </c>
      <c r="Q52" s="40"/>
      <c r="R52" s="41"/>
    </row>
    <row r="53" ht="408" customHeight="1" spans="1:18">
      <c r="A53" s="37"/>
      <c r="B53" s="44" t="s">
        <v>258</v>
      </c>
      <c r="C53" s="45"/>
      <c r="D53" s="45"/>
      <c r="E53" s="45"/>
      <c r="F53" s="45"/>
      <c r="G53" s="45"/>
      <c r="H53" s="44"/>
      <c r="I53" s="44"/>
      <c r="J53" s="45">
        <v>3</v>
      </c>
      <c r="K53" s="36">
        <v>5</v>
      </c>
      <c r="L53" s="36"/>
      <c r="M53" s="36">
        <v>1</v>
      </c>
      <c r="O53" s="38">
        <v>3</v>
      </c>
      <c r="P53" s="24">
        <v>3</v>
      </c>
      <c r="Q53" s="40"/>
      <c r="R53" s="40">
        <v>1</v>
      </c>
    </row>
    <row r="54" ht="55" customHeight="1" spans="1:18">
      <c r="A54" s="47" t="s">
        <v>259</v>
      </c>
      <c r="B54" s="44" t="s">
        <v>260</v>
      </c>
      <c r="C54" s="45"/>
      <c r="D54" s="45"/>
      <c r="E54" s="45"/>
      <c r="F54" s="45"/>
      <c r="G54" s="45"/>
      <c r="H54" s="44"/>
      <c r="I54" s="44"/>
      <c r="J54" s="45"/>
      <c r="K54" s="36"/>
      <c r="L54" s="36"/>
      <c r="M54" s="36"/>
      <c r="O54" s="38"/>
      <c r="P54" s="24"/>
      <c r="Q54" s="40"/>
      <c r="R54" s="40"/>
    </row>
    <row r="55" ht="37" customHeight="1" spans="1:18">
      <c r="A55" s="48"/>
      <c r="B55" s="44" t="s">
        <v>261</v>
      </c>
      <c r="C55" s="45"/>
      <c r="D55" s="45"/>
      <c r="E55" s="45"/>
      <c r="F55" s="45"/>
      <c r="G55" s="45"/>
      <c r="H55" s="44"/>
      <c r="I55" s="44"/>
      <c r="J55" s="45">
        <v>2</v>
      </c>
      <c r="K55" s="36">
        <v>2</v>
      </c>
      <c r="L55" s="36"/>
      <c r="M55" s="37">
        <v>3</v>
      </c>
      <c r="O55" s="38">
        <v>1</v>
      </c>
      <c r="P55" s="24">
        <v>1</v>
      </c>
      <c r="Q55" s="40"/>
      <c r="R55" s="41">
        <v>1</v>
      </c>
    </row>
    <row r="56" ht="56" customHeight="1" spans="1:18">
      <c r="A56" s="48"/>
      <c r="B56" s="44" t="s">
        <v>262</v>
      </c>
      <c r="C56" s="45"/>
      <c r="D56" s="45"/>
      <c r="E56" s="45"/>
      <c r="F56" s="45"/>
      <c r="G56" s="45"/>
      <c r="H56" s="44"/>
      <c r="I56" s="44"/>
      <c r="J56" s="45">
        <v>1</v>
      </c>
      <c r="K56" s="36">
        <v>1</v>
      </c>
      <c r="L56" s="36"/>
      <c r="M56" s="37"/>
      <c r="O56" s="38">
        <v>1</v>
      </c>
      <c r="P56" s="24">
        <v>1</v>
      </c>
      <c r="Q56" s="40"/>
      <c r="R56" s="41"/>
    </row>
    <row r="57" ht="88" customHeight="1" spans="1:18">
      <c r="A57" s="48"/>
      <c r="B57" s="46" t="s">
        <v>263</v>
      </c>
      <c r="C57" s="45"/>
      <c r="D57" s="45"/>
      <c r="E57" s="45"/>
      <c r="F57" s="45"/>
      <c r="G57" s="45"/>
      <c r="H57" s="44"/>
      <c r="I57" s="44"/>
      <c r="J57" s="45">
        <v>3</v>
      </c>
      <c r="K57" s="36">
        <v>6</v>
      </c>
      <c r="L57" s="36"/>
      <c r="M57" s="37"/>
      <c r="O57" s="38">
        <v>2</v>
      </c>
      <c r="P57" s="24">
        <v>2</v>
      </c>
      <c r="Q57" s="40"/>
      <c r="R57" s="41"/>
    </row>
    <row r="58" ht="64" customHeight="1" spans="1:18">
      <c r="A58" s="48"/>
      <c r="B58" s="44" t="s">
        <v>264</v>
      </c>
      <c r="C58" s="45"/>
      <c r="D58" s="45"/>
      <c r="E58" s="45"/>
      <c r="F58" s="45"/>
      <c r="G58" s="45"/>
      <c r="H58" s="44"/>
      <c r="I58" s="44"/>
      <c r="J58" s="45">
        <v>1</v>
      </c>
      <c r="K58" s="36">
        <v>2</v>
      </c>
      <c r="L58" s="36"/>
      <c r="M58" s="37"/>
      <c r="O58" s="38">
        <v>1</v>
      </c>
      <c r="P58" s="24">
        <v>2</v>
      </c>
      <c r="Q58" s="40"/>
      <c r="R58" s="41"/>
    </row>
    <row r="59" ht="181" customHeight="1" spans="1:18">
      <c r="A59" s="48"/>
      <c r="B59" s="46" t="s">
        <v>265</v>
      </c>
      <c r="C59" s="45"/>
      <c r="D59" s="45"/>
      <c r="E59" s="45"/>
      <c r="F59" s="45"/>
      <c r="G59" s="45"/>
      <c r="H59" s="44"/>
      <c r="I59" s="44"/>
      <c r="J59" s="45">
        <v>6</v>
      </c>
      <c r="K59" s="36">
        <v>10</v>
      </c>
      <c r="L59" s="36"/>
      <c r="M59" s="36">
        <v>3</v>
      </c>
      <c r="O59" s="38">
        <v>3</v>
      </c>
      <c r="P59" s="24">
        <v>4</v>
      </c>
      <c r="Q59" s="40"/>
      <c r="R59" s="40">
        <v>1</v>
      </c>
    </row>
    <row r="60" ht="33" customHeight="1" spans="1:18">
      <c r="A60" s="49"/>
      <c r="B60" s="50" t="s">
        <v>266</v>
      </c>
      <c r="C60" s="53"/>
      <c r="D60" s="53"/>
      <c r="E60" s="53"/>
      <c r="F60" s="51"/>
      <c r="G60" s="45"/>
      <c r="H60" s="50"/>
      <c r="I60" s="51"/>
      <c r="J60" s="45">
        <v>2</v>
      </c>
      <c r="K60" s="36">
        <v>3</v>
      </c>
      <c r="L60" s="36"/>
      <c r="M60" s="36"/>
      <c r="O60" s="38">
        <v>2</v>
      </c>
      <c r="P60" s="24">
        <v>2</v>
      </c>
      <c r="Q60" s="40"/>
      <c r="R60" s="40"/>
    </row>
    <row r="61" ht="187" customHeight="1" spans="1:18">
      <c r="A61" s="37" t="s">
        <v>267</v>
      </c>
      <c r="B61" s="44" t="s">
        <v>268</v>
      </c>
      <c r="C61" s="45"/>
      <c r="D61" s="45"/>
      <c r="E61" s="45"/>
      <c r="F61" s="45"/>
      <c r="G61" s="45"/>
      <c r="H61" s="44"/>
      <c r="I61" s="44"/>
      <c r="J61" s="45"/>
      <c r="K61" s="36"/>
      <c r="L61" s="36"/>
      <c r="M61" s="36"/>
      <c r="O61" s="38"/>
      <c r="P61" s="24"/>
      <c r="Q61" s="40"/>
      <c r="R61" s="40"/>
    </row>
    <row r="62" ht="408" customHeight="1" spans="1:18">
      <c r="A62" s="37"/>
      <c r="B62" s="46" t="s">
        <v>269</v>
      </c>
      <c r="C62" s="45"/>
      <c r="D62" s="45"/>
      <c r="E62" s="45"/>
      <c r="F62" s="45"/>
      <c r="G62" s="45"/>
      <c r="H62" s="44"/>
      <c r="I62" s="44"/>
      <c r="J62" s="45">
        <v>3</v>
      </c>
      <c r="K62" s="36">
        <v>10</v>
      </c>
      <c r="L62" s="36"/>
      <c r="M62" s="36">
        <v>3</v>
      </c>
      <c r="O62" s="38">
        <v>3</v>
      </c>
      <c r="P62" s="24">
        <v>6</v>
      </c>
      <c r="Q62" s="40"/>
      <c r="R62" s="40">
        <v>1</v>
      </c>
    </row>
    <row r="63" ht="408" customHeight="1" spans="1:18">
      <c r="A63" s="37"/>
      <c r="B63" s="46" t="s">
        <v>270</v>
      </c>
      <c r="C63" s="45"/>
      <c r="D63" s="45"/>
      <c r="E63" s="45"/>
      <c r="F63" s="45"/>
      <c r="G63" s="45"/>
      <c r="H63" s="44"/>
      <c r="I63" s="44"/>
      <c r="J63" s="45">
        <v>6</v>
      </c>
      <c r="K63" s="36">
        <v>10</v>
      </c>
      <c r="L63" s="36"/>
      <c r="M63" s="36">
        <v>3</v>
      </c>
      <c r="O63" s="38">
        <v>3</v>
      </c>
      <c r="P63" s="24">
        <v>6</v>
      </c>
      <c r="Q63" s="40"/>
      <c r="R63" s="40">
        <v>1</v>
      </c>
    </row>
    <row r="64" ht="113" customHeight="1" spans="1:18">
      <c r="A64" s="37"/>
      <c r="B64" s="44" t="s">
        <v>271</v>
      </c>
      <c r="C64" s="45"/>
      <c r="D64" s="45"/>
      <c r="E64" s="45"/>
      <c r="F64" s="45"/>
      <c r="G64" s="45"/>
      <c r="H64" s="44"/>
      <c r="I64" s="44"/>
      <c r="J64" s="45"/>
      <c r="K64" s="36"/>
      <c r="L64" s="36"/>
      <c r="M64" s="36"/>
      <c r="O64" s="38"/>
      <c r="P64" s="24"/>
      <c r="Q64" s="40"/>
      <c r="R64" s="40"/>
    </row>
    <row r="65" ht="159" customHeight="1" spans="1:18">
      <c r="A65" s="37"/>
      <c r="B65" s="46" t="s">
        <v>272</v>
      </c>
      <c r="C65" s="45"/>
      <c r="D65" s="45"/>
      <c r="E65" s="45"/>
      <c r="F65" s="45"/>
      <c r="G65" s="45"/>
      <c r="H65" s="44"/>
      <c r="I65" s="44"/>
      <c r="J65" s="45">
        <v>6</v>
      </c>
      <c r="K65" s="36">
        <v>4</v>
      </c>
      <c r="L65" s="36"/>
      <c r="M65" s="36">
        <v>2</v>
      </c>
      <c r="O65" s="38">
        <v>3</v>
      </c>
      <c r="P65" s="24">
        <v>3</v>
      </c>
      <c r="Q65" s="40"/>
      <c r="R65" s="40">
        <v>1</v>
      </c>
    </row>
    <row r="66" ht="155" customHeight="1" spans="1:18">
      <c r="A66" s="37"/>
      <c r="B66" s="44" t="s">
        <v>273</v>
      </c>
      <c r="C66" s="45"/>
      <c r="D66" s="45"/>
      <c r="E66" s="45"/>
      <c r="F66" s="45"/>
      <c r="G66" s="45"/>
      <c r="H66" s="44"/>
      <c r="I66" s="44"/>
      <c r="J66" s="45">
        <v>3</v>
      </c>
      <c r="K66" s="36">
        <v>5</v>
      </c>
      <c r="L66" s="36"/>
      <c r="M66" s="36">
        <v>1</v>
      </c>
      <c r="O66" s="38">
        <v>2</v>
      </c>
      <c r="P66" s="24">
        <v>3</v>
      </c>
      <c r="Q66" s="40"/>
      <c r="R66" s="40">
        <v>1</v>
      </c>
    </row>
    <row r="67" ht="82" customHeight="1" spans="1:18">
      <c r="A67" s="37" t="s">
        <v>274</v>
      </c>
      <c r="B67" s="44" t="s">
        <v>275</v>
      </c>
      <c r="C67" s="45"/>
      <c r="D67" s="45"/>
      <c r="E67" s="45"/>
      <c r="F67" s="45"/>
      <c r="G67" s="45"/>
      <c r="H67" s="44"/>
      <c r="I67" s="44"/>
      <c r="J67" s="45"/>
      <c r="K67" s="36"/>
      <c r="L67" s="36"/>
      <c r="M67" s="36"/>
      <c r="O67" s="38"/>
      <c r="P67" s="24"/>
      <c r="Q67" s="40"/>
      <c r="R67" s="40"/>
    </row>
    <row r="68" ht="134" customHeight="1" spans="1:18">
      <c r="A68" s="37"/>
      <c r="B68" s="44" t="s">
        <v>276</v>
      </c>
      <c r="C68" s="45"/>
      <c r="D68" s="45"/>
      <c r="E68" s="45"/>
      <c r="F68" s="45"/>
      <c r="G68" s="45"/>
      <c r="H68" s="44"/>
      <c r="I68" s="44"/>
      <c r="J68" s="45">
        <v>1</v>
      </c>
      <c r="K68" s="36">
        <v>6</v>
      </c>
      <c r="L68" s="36"/>
      <c r="M68" s="37">
        <v>2</v>
      </c>
      <c r="O68" s="38">
        <v>2</v>
      </c>
      <c r="P68" s="24">
        <v>2</v>
      </c>
      <c r="Q68" s="40"/>
      <c r="R68" s="41">
        <v>1</v>
      </c>
    </row>
    <row r="69" ht="68" customHeight="1" spans="1:18">
      <c r="A69" s="37"/>
      <c r="B69" s="44" t="s">
        <v>277</v>
      </c>
      <c r="C69" s="45"/>
      <c r="D69" s="45"/>
      <c r="E69" s="45"/>
      <c r="F69" s="45"/>
      <c r="G69" s="45"/>
      <c r="H69" s="44"/>
      <c r="I69" s="44"/>
      <c r="J69" s="45">
        <v>1</v>
      </c>
      <c r="K69" s="36">
        <v>1</v>
      </c>
      <c r="L69" s="36"/>
      <c r="M69" s="37"/>
      <c r="O69" s="38">
        <v>1</v>
      </c>
      <c r="P69" s="24">
        <v>1</v>
      </c>
      <c r="Q69" s="40"/>
      <c r="R69" s="41"/>
    </row>
    <row r="70" ht="88" customHeight="1" spans="1:18">
      <c r="A70" s="37"/>
      <c r="B70" s="44" t="s">
        <v>278</v>
      </c>
      <c r="C70" s="45"/>
      <c r="D70" s="45"/>
      <c r="E70" s="45"/>
      <c r="F70" s="45"/>
      <c r="G70" s="45"/>
      <c r="H70" s="44"/>
      <c r="I70" s="44"/>
      <c r="J70" s="45">
        <v>2</v>
      </c>
      <c r="K70" s="36">
        <v>2</v>
      </c>
      <c r="L70" s="36"/>
      <c r="M70" s="37"/>
      <c r="O70" s="38">
        <v>2</v>
      </c>
      <c r="P70" s="24">
        <v>2</v>
      </c>
      <c r="Q70" s="40"/>
      <c r="R70" s="41"/>
    </row>
    <row r="71" ht="80" customHeight="1" spans="1:18">
      <c r="A71" s="37"/>
      <c r="B71" s="44" t="s">
        <v>279</v>
      </c>
      <c r="C71" s="45"/>
      <c r="D71" s="45"/>
      <c r="E71" s="45"/>
      <c r="F71" s="45"/>
      <c r="G71" s="45"/>
      <c r="H71" s="44"/>
      <c r="I71" s="44"/>
      <c r="J71" s="45">
        <v>0.5</v>
      </c>
      <c r="K71" s="36">
        <v>0</v>
      </c>
      <c r="L71" s="36"/>
      <c r="M71" s="37"/>
      <c r="O71" s="38">
        <v>0.5</v>
      </c>
      <c r="P71" s="24">
        <v>0</v>
      </c>
      <c r="Q71" s="40"/>
      <c r="R71" s="41"/>
    </row>
    <row r="72" ht="100" customHeight="1" spans="1:18">
      <c r="A72" s="37"/>
      <c r="B72" s="44" t="s">
        <v>280</v>
      </c>
      <c r="C72" s="45"/>
      <c r="D72" s="45"/>
      <c r="E72" s="45"/>
      <c r="F72" s="45"/>
      <c r="G72" s="45"/>
      <c r="H72" s="44"/>
      <c r="I72" s="44"/>
      <c r="J72" s="45">
        <v>3</v>
      </c>
      <c r="K72" s="36">
        <v>5</v>
      </c>
      <c r="L72" s="36"/>
      <c r="M72" s="37">
        <v>2</v>
      </c>
      <c r="O72" s="38">
        <v>3</v>
      </c>
      <c r="P72" s="24">
        <v>3</v>
      </c>
      <c r="Q72" s="40"/>
      <c r="R72" s="41">
        <v>1</v>
      </c>
    </row>
    <row r="73" ht="110" customHeight="1" spans="1:18">
      <c r="A73" s="37"/>
      <c r="B73" s="44" t="s">
        <v>281</v>
      </c>
      <c r="C73" s="45"/>
      <c r="D73" s="45"/>
      <c r="E73" s="45"/>
      <c r="F73" s="45"/>
      <c r="G73" s="45"/>
      <c r="H73" s="44"/>
      <c r="I73" s="44"/>
      <c r="J73" s="45">
        <v>3</v>
      </c>
      <c r="K73" s="36">
        <v>5</v>
      </c>
      <c r="L73" s="36"/>
      <c r="M73" s="37"/>
      <c r="O73" s="38">
        <v>3</v>
      </c>
      <c r="P73" s="24">
        <v>3</v>
      </c>
      <c r="Q73" s="40"/>
      <c r="R73" s="41"/>
    </row>
    <row r="74" ht="147" customHeight="1" spans="1:18">
      <c r="A74" s="37" t="s">
        <v>282</v>
      </c>
      <c r="B74" s="44" t="s">
        <v>283</v>
      </c>
      <c r="C74" s="45"/>
      <c r="D74" s="45"/>
      <c r="E74" s="45"/>
      <c r="F74" s="45"/>
      <c r="G74" s="45"/>
      <c r="H74" s="44"/>
      <c r="I74" s="44"/>
      <c r="J74" s="45"/>
      <c r="K74" s="36"/>
      <c r="L74" s="36"/>
      <c r="M74" s="36"/>
      <c r="O74" s="38"/>
      <c r="P74" s="24"/>
      <c r="Q74" s="40"/>
      <c r="R74" s="40"/>
    </row>
    <row r="75" ht="117" customHeight="1" spans="1:18">
      <c r="A75" s="37"/>
      <c r="B75" s="46" t="s">
        <v>284</v>
      </c>
      <c r="C75" s="45"/>
      <c r="D75" s="45"/>
      <c r="E75" s="45"/>
      <c r="F75" s="45"/>
      <c r="G75" s="45"/>
      <c r="H75" s="44"/>
      <c r="I75" s="44"/>
      <c r="J75" s="45">
        <v>3</v>
      </c>
      <c r="K75" s="36">
        <v>6</v>
      </c>
      <c r="L75" s="36"/>
      <c r="M75" s="36">
        <v>1</v>
      </c>
      <c r="O75" s="38">
        <v>2</v>
      </c>
      <c r="P75" s="24">
        <v>3</v>
      </c>
      <c r="Q75" s="40"/>
      <c r="R75" s="40">
        <v>1</v>
      </c>
    </row>
    <row r="76" ht="107" customHeight="1" spans="1:18">
      <c r="A76" s="37"/>
      <c r="B76" s="44" t="s">
        <v>285</v>
      </c>
      <c r="C76" s="45"/>
      <c r="D76" s="45"/>
      <c r="E76" s="45"/>
      <c r="F76" s="45"/>
      <c r="G76" s="45"/>
      <c r="H76" s="44"/>
      <c r="I76" s="44"/>
      <c r="J76" s="45"/>
      <c r="K76" s="36"/>
      <c r="L76" s="36"/>
      <c r="M76" s="36"/>
      <c r="O76" s="38"/>
      <c r="P76" s="24"/>
      <c r="Q76" s="40"/>
      <c r="R76" s="40"/>
    </row>
    <row r="77" ht="107" customHeight="1" spans="1:18">
      <c r="A77" s="37"/>
      <c r="B77" s="46" t="s">
        <v>286</v>
      </c>
      <c r="C77" s="45"/>
      <c r="D77" s="45"/>
      <c r="E77" s="45"/>
      <c r="F77" s="45"/>
      <c r="G77" s="45"/>
      <c r="H77" s="44"/>
      <c r="I77" s="44"/>
      <c r="J77" s="45">
        <v>3</v>
      </c>
      <c r="K77" s="36">
        <v>6</v>
      </c>
      <c r="L77" s="36"/>
      <c r="M77" s="36">
        <v>1</v>
      </c>
      <c r="O77" s="38">
        <v>2</v>
      </c>
      <c r="P77" s="24">
        <v>3</v>
      </c>
      <c r="Q77" s="40"/>
      <c r="R77" s="40">
        <v>1</v>
      </c>
    </row>
    <row r="78" ht="238" customHeight="1" spans="1:18">
      <c r="A78" s="37" t="s">
        <v>287</v>
      </c>
      <c r="B78" s="44" t="s">
        <v>288</v>
      </c>
      <c r="C78" s="45"/>
      <c r="D78" s="45"/>
      <c r="E78" s="45"/>
      <c r="F78" s="45"/>
      <c r="G78" s="45"/>
      <c r="H78" s="44" t="s">
        <v>289</v>
      </c>
      <c r="I78" s="44"/>
      <c r="J78" s="45">
        <v>2</v>
      </c>
      <c r="K78" s="36">
        <v>2</v>
      </c>
      <c r="L78" s="36"/>
      <c r="M78" s="36">
        <v>1</v>
      </c>
      <c r="O78" s="38">
        <v>1</v>
      </c>
      <c r="P78" s="24">
        <v>1</v>
      </c>
      <c r="Q78" s="40"/>
      <c r="R78" s="40">
        <v>1</v>
      </c>
    </row>
    <row r="79" ht="93" customHeight="1" spans="1:18">
      <c r="A79" s="47" t="s">
        <v>290</v>
      </c>
      <c r="B79" s="46" t="s">
        <v>291</v>
      </c>
      <c r="C79" s="45"/>
      <c r="D79" s="45"/>
      <c r="E79" s="45"/>
      <c r="F79" s="45"/>
      <c r="G79" s="45"/>
      <c r="H79" s="54"/>
      <c r="I79" s="54"/>
      <c r="J79" s="45">
        <v>2</v>
      </c>
      <c r="K79" s="36">
        <v>2</v>
      </c>
      <c r="L79" s="36"/>
      <c r="M79" s="55">
        <v>1</v>
      </c>
      <c r="O79" s="38">
        <v>1</v>
      </c>
      <c r="P79" s="24">
        <v>1</v>
      </c>
      <c r="Q79" s="40"/>
      <c r="R79" s="56">
        <v>1</v>
      </c>
    </row>
    <row r="80" ht="30" customHeight="1" spans="1:18">
      <c r="A80" s="49"/>
      <c r="B80" s="57" t="s">
        <v>292</v>
      </c>
      <c r="C80" s="58"/>
      <c r="D80" s="58"/>
      <c r="E80" s="58"/>
      <c r="F80" s="59"/>
      <c r="G80" s="45"/>
      <c r="H80" s="50"/>
      <c r="I80" s="51"/>
      <c r="J80" s="45">
        <v>2</v>
      </c>
      <c r="K80" s="36">
        <v>0</v>
      </c>
      <c r="L80" s="36"/>
      <c r="M80" s="60"/>
      <c r="O80" s="38">
        <v>1</v>
      </c>
      <c r="P80" s="24"/>
      <c r="Q80" s="40"/>
      <c r="R80" s="61"/>
    </row>
    <row r="81" ht="69" customHeight="1" spans="1:18">
      <c r="A81" s="37" t="s">
        <v>293</v>
      </c>
      <c r="B81" s="44" t="s">
        <v>294</v>
      </c>
      <c r="C81" s="45"/>
      <c r="D81" s="45"/>
      <c r="E81" s="45"/>
      <c r="F81" s="45"/>
      <c r="G81" s="45"/>
      <c r="H81" s="44"/>
      <c r="I81" s="44"/>
      <c r="J81" s="45"/>
      <c r="K81" s="36"/>
      <c r="L81" s="36"/>
      <c r="M81" s="36"/>
      <c r="O81" s="38"/>
      <c r="P81" s="24"/>
      <c r="Q81" s="40"/>
      <c r="R81" s="40"/>
    </row>
    <row r="82" ht="409" customHeight="1" spans="1:18">
      <c r="A82" s="37"/>
      <c r="B82" s="26" t="s">
        <v>295</v>
      </c>
      <c r="C82" s="33"/>
      <c r="D82" s="33"/>
      <c r="E82" s="33"/>
      <c r="F82" s="33"/>
      <c r="G82" s="33"/>
      <c r="H82" s="46" t="s">
        <v>296</v>
      </c>
      <c r="I82" s="44"/>
      <c r="J82" s="45">
        <v>4</v>
      </c>
      <c r="K82" s="36">
        <v>6</v>
      </c>
      <c r="L82" s="36"/>
      <c r="M82" s="55">
        <v>2</v>
      </c>
      <c r="O82" s="38">
        <v>4</v>
      </c>
      <c r="P82" s="24">
        <v>4</v>
      </c>
      <c r="Q82" s="40"/>
      <c r="R82" s="56">
        <v>1</v>
      </c>
    </row>
    <row r="83" ht="254" customHeight="1" spans="1:18">
      <c r="A83" s="37"/>
      <c r="B83" s="43" t="s">
        <v>297</v>
      </c>
      <c r="C83" s="33"/>
      <c r="D83" s="33"/>
      <c r="E83" s="33"/>
      <c r="F83" s="33"/>
      <c r="G83" s="33"/>
      <c r="H83" s="44"/>
      <c r="I83" s="44"/>
      <c r="J83" s="45">
        <v>0.5</v>
      </c>
      <c r="K83" s="36">
        <v>2</v>
      </c>
      <c r="L83" s="36"/>
      <c r="M83" s="60"/>
      <c r="O83" s="38">
        <v>0.5</v>
      </c>
      <c r="P83" s="40">
        <v>2</v>
      </c>
      <c r="Q83" s="40"/>
      <c r="R83" s="61"/>
    </row>
    <row r="84" ht="167" customHeight="1" spans="1:18">
      <c r="A84" s="37" t="s">
        <v>298</v>
      </c>
      <c r="B84" s="44" t="s">
        <v>299</v>
      </c>
      <c r="C84" s="45"/>
      <c r="D84" s="45"/>
      <c r="E84" s="45"/>
      <c r="F84" s="45"/>
      <c r="G84" s="45"/>
      <c r="H84" s="44"/>
      <c r="I84" s="44"/>
      <c r="J84" s="45">
        <v>2</v>
      </c>
      <c r="K84" s="36">
        <v>8</v>
      </c>
      <c r="L84" s="36"/>
      <c r="M84" s="36">
        <v>2</v>
      </c>
      <c r="O84" s="38">
        <v>2</v>
      </c>
      <c r="P84" s="24">
        <v>4</v>
      </c>
      <c r="Q84" s="40"/>
      <c r="R84" s="40">
        <v>1</v>
      </c>
    </row>
    <row r="85" ht="152" customHeight="1" spans="1:18">
      <c r="A85" s="37"/>
      <c r="B85" s="44" t="s">
        <v>300</v>
      </c>
      <c r="C85" s="45"/>
      <c r="D85" s="45"/>
      <c r="E85" s="45"/>
      <c r="F85" s="45"/>
      <c r="G85" s="45"/>
      <c r="H85" s="44"/>
      <c r="I85" s="44"/>
      <c r="J85" s="45">
        <v>0</v>
      </c>
      <c r="K85" s="36">
        <v>8</v>
      </c>
      <c r="L85" s="36"/>
      <c r="M85" s="36">
        <v>2</v>
      </c>
      <c r="O85" s="38"/>
      <c r="P85" s="24">
        <v>4</v>
      </c>
      <c r="Q85" s="40"/>
      <c r="R85" s="40">
        <v>1</v>
      </c>
    </row>
    <row r="86" s="1" customFormat="1" ht="18" customHeight="1" spans="1:18">
      <c r="A86" s="62" t="s">
        <v>106</v>
      </c>
      <c r="B86" s="62"/>
      <c r="C86" s="62"/>
      <c r="D86" s="62"/>
      <c r="E86" s="62"/>
      <c r="F86" s="62"/>
      <c r="G86" s="62"/>
      <c r="H86" s="62"/>
      <c r="I86" s="62"/>
      <c r="J86" s="63">
        <f t="shared" ref="J86:P86" si="0">SUM(J6:J85)</f>
        <v>164</v>
      </c>
      <c r="K86" s="64">
        <f t="shared" si="0"/>
        <v>284</v>
      </c>
      <c r="L86" s="64">
        <v>20</v>
      </c>
      <c r="M86" s="64">
        <f t="shared" si="0"/>
        <v>72</v>
      </c>
      <c r="O86" s="65">
        <f t="shared" si="0"/>
        <v>116</v>
      </c>
      <c r="P86" s="66">
        <f t="shared" si="0"/>
        <v>144</v>
      </c>
      <c r="Q86" s="67"/>
      <c r="R86" s="67">
        <f>SUM(R6:R85)</f>
        <v>30</v>
      </c>
    </row>
    <row r="87" ht="20" customHeight="1" spans="1:18">
      <c r="A87" s="68" t="s">
        <v>107</v>
      </c>
      <c r="B87" s="68"/>
      <c r="C87" s="68"/>
      <c r="D87" s="68"/>
      <c r="E87" s="68"/>
      <c r="F87" s="68"/>
      <c r="G87" s="68"/>
      <c r="H87" s="68"/>
      <c r="I87" s="68"/>
      <c r="J87" s="68">
        <f>SUM(J86:M86)</f>
        <v>540</v>
      </c>
      <c r="K87" s="68"/>
      <c r="L87" s="68"/>
      <c r="M87" s="68"/>
      <c r="O87" s="39">
        <f>SUM(O86:R86)</f>
        <v>290</v>
      </c>
      <c r="P87" s="39"/>
      <c r="Q87" s="69"/>
      <c r="R87" s="69"/>
    </row>
    <row r="88" spans="1:18">
      <c r="A88" s="70"/>
    </row>
    <row r="89" spans="1:18">
      <c r="A89" s="70"/>
    </row>
    <row r="90" spans="1:18">
      <c r="A90" s="70"/>
    </row>
    <row r="91" spans="1:18">
      <c r="A91" s="70"/>
    </row>
    <row r="92" spans="1:18">
      <c r="A92" s="70"/>
    </row>
    <row r="93" spans="1:18">
      <c r="A93" s="70"/>
    </row>
    <row r="94" spans="1:18">
      <c r="A94" s="70"/>
    </row>
    <row r="95" spans="1:18">
      <c r="A95" s="70"/>
    </row>
    <row r="96" spans="1:18">
      <c r="A96" s="70"/>
    </row>
    <row r="97" spans="1:1">
      <c r="A97" s="70"/>
    </row>
    <row r="98" spans="1:1">
      <c r="A98" s="70"/>
    </row>
    <row r="99" spans="1:1">
      <c r="A99" s="70"/>
    </row>
    <row r="100" spans="1:1">
      <c r="A100" s="70"/>
    </row>
    <row r="101" spans="1:1">
      <c r="A101" s="70"/>
    </row>
    <row r="102" spans="1:1">
      <c r="A102" s="70"/>
    </row>
    <row r="103" spans="1:1">
      <c r="A103" s="70"/>
    </row>
    <row r="104" spans="1:1">
      <c r="A104" s="70"/>
    </row>
    <row r="105" spans="1:1">
      <c r="A105" s="70"/>
    </row>
    <row r="106" spans="1:1">
      <c r="A106" s="70"/>
    </row>
    <row r="107" spans="1:1">
      <c r="A107" s="70"/>
    </row>
    <row r="108" spans="1:1">
      <c r="A108" s="70"/>
    </row>
    <row r="109" spans="1:1">
      <c r="A109" s="70"/>
    </row>
    <row r="110" spans="1:1">
      <c r="A110" s="70"/>
    </row>
    <row r="111" spans="1:1">
      <c r="A111" s="70"/>
    </row>
    <row r="112" spans="1:1">
      <c r="A112" s="70"/>
    </row>
    <row r="113" spans="1:1">
      <c r="A113" s="70"/>
    </row>
    <row r="114" spans="1:1">
      <c r="A114" s="70"/>
    </row>
    <row r="115" spans="1:1">
      <c r="A115" s="70"/>
    </row>
    <row r="116" spans="1:1">
      <c r="A116" s="70"/>
    </row>
    <row r="117" spans="1:1">
      <c r="A117" s="70"/>
    </row>
    <row r="118" spans="1:1">
      <c r="A118" s="70"/>
    </row>
    <row r="119" spans="1:1">
      <c r="A119" s="70"/>
    </row>
    <row r="120" spans="1:1">
      <c r="A120" s="70"/>
    </row>
    <row r="121" spans="1:1">
      <c r="A121" s="70"/>
    </row>
    <row r="122" spans="1:1">
      <c r="A122" s="70"/>
    </row>
    <row r="123" spans="1:1">
      <c r="A123" s="70"/>
    </row>
    <row r="124" spans="1:1">
      <c r="A124" s="70"/>
    </row>
    <row r="125" spans="1:1">
      <c r="A125" s="70"/>
    </row>
    <row r="126" spans="1:1">
      <c r="A126" s="70"/>
    </row>
    <row r="127" spans="1:1">
      <c r="A127" s="70"/>
    </row>
    <row r="128" spans="1:1">
      <c r="A128" s="70"/>
    </row>
    <row r="129" spans="1:1">
      <c r="A129" s="70"/>
    </row>
  </sheetData>
  <mergeCells count="294">
    <mergeCell ref="B5:G5"/>
    <mergeCell ref="H5:I5"/>
    <mergeCell ref="B6:F6"/>
    <mergeCell ref="H6:I6"/>
    <mergeCell ref="B7:F7"/>
    <mergeCell ref="H7:I7"/>
    <mergeCell ref="B8:F8"/>
    <mergeCell ref="H8:I8"/>
    <mergeCell ref="B9:F9"/>
    <mergeCell ref="H9:I9"/>
    <mergeCell ref="B10:F10"/>
    <mergeCell ref="H10:I10"/>
    <mergeCell ref="B11:F11"/>
    <mergeCell ref="H11:I11"/>
    <mergeCell ref="B12:G12"/>
    <mergeCell ref="H12:I12"/>
    <mergeCell ref="B13:G13"/>
    <mergeCell ref="H13:I13"/>
    <mergeCell ref="B14:G14"/>
    <mergeCell ref="H14:I14"/>
    <mergeCell ref="B15:G15"/>
    <mergeCell ref="H15:I15"/>
    <mergeCell ref="B16:G16"/>
    <mergeCell ref="H16:I16"/>
    <mergeCell ref="B17:G17"/>
    <mergeCell ref="H17:I17"/>
    <mergeCell ref="B18:G18"/>
    <mergeCell ref="H18:I18"/>
    <mergeCell ref="B19:G19"/>
    <mergeCell ref="H19:I19"/>
    <mergeCell ref="B20:G20"/>
    <mergeCell ref="H20:I20"/>
    <mergeCell ref="B21:G21"/>
    <mergeCell ref="H21:I21"/>
    <mergeCell ref="B22:G22"/>
    <mergeCell ref="H22:I22"/>
    <mergeCell ref="B23:G23"/>
    <mergeCell ref="H23:I23"/>
    <mergeCell ref="B24:G24"/>
    <mergeCell ref="H24:I24"/>
    <mergeCell ref="B25:G25"/>
    <mergeCell ref="H25:I25"/>
    <mergeCell ref="B26:G26"/>
    <mergeCell ref="H26:I26"/>
    <mergeCell ref="B27:G27"/>
    <mergeCell ref="H27:I27"/>
    <mergeCell ref="B28:G28"/>
    <mergeCell ref="H28:I28"/>
    <mergeCell ref="B29:F29"/>
    <mergeCell ref="H29:I29"/>
    <mergeCell ref="B30:G30"/>
    <mergeCell ref="H30:I30"/>
    <mergeCell ref="B31:G31"/>
    <mergeCell ref="H31:I31"/>
    <mergeCell ref="B32:G32"/>
    <mergeCell ref="H32:I32"/>
    <mergeCell ref="B33:G33"/>
    <mergeCell ref="H33:I33"/>
    <mergeCell ref="B34:G34"/>
    <mergeCell ref="H34:I34"/>
    <mergeCell ref="B35:G35"/>
    <mergeCell ref="H35:I35"/>
    <mergeCell ref="B36:G36"/>
    <mergeCell ref="H36:I36"/>
    <mergeCell ref="B37:G37"/>
    <mergeCell ref="H37:I37"/>
    <mergeCell ref="B38:G38"/>
    <mergeCell ref="H38:I38"/>
    <mergeCell ref="B39:G39"/>
    <mergeCell ref="H39:I39"/>
    <mergeCell ref="B40:G40"/>
    <mergeCell ref="H40:I40"/>
    <mergeCell ref="B41:G41"/>
    <mergeCell ref="H41:I41"/>
    <mergeCell ref="B42:G42"/>
    <mergeCell ref="H42:I42"/>
    <mergeCell ref="B43:G43"/>
    <mergeCell ref="H43:I43"/>
    <mergeCell ref="B44:G44"/>
    <mergeCell ref="H44:I44"/>
    <mergeCell ref="B45:G45"/>
    <mergeCell ref="H45:I45"/>
    <mergeCell ref="B46:G46"/>
    <mergeCell ref="H46:I46"/>
    <mergeCell ref="B47:G47"/>
    <mergeCell ref="H47:I47"/>
    <mergeCell ref="B48:G48"/>
    <mergeCell ref="H48:I48"/>
    <mergeCell ref="B49:G49"/>
    <mergeCell ref="H49:I49"/>
    <mergeCell ref="B50:G50"/>
    <mergeCell ref="H50:I50"/>
    <mergeCell ref="B51:G51"/>
    <mergeCell ref="H51:I51"/>
    <mergeCell ref="B52:G52"/>
    <mergeCell ref="H52:I52"/>
    <mergeCell ref="B53:G53"/>
    <mergeCell ref="H53:I53"/>
    <mergeCell ref="B54:G54"/>
    <mergeCell ref="H54:I54"/>
    <mergeCell ref="B55:G55"/>
    <mergeCell ref="H55:I55"/>
    <mergeCell ref="B56:G56"/>
    <mergeCell ref="H56:I56"/>
    <mergeCell ref="B57:G57"/>
    <mergeCell ref="H57:I57"/>
    <mergeCell ref="B58:G58"/>
    <mergeCell ref="H58:I58"/>
    <mergeCell ref="B59:G59"/>
    <mergeCell ref="H59:I59"/>
    <mergeCell ref="B60:F60"/>
    <mergeCell ref="H60:I60"/>
    <mergeCell ref="B61:G61"/>
    <mergeCell ref="H61:I61"/>
    <mergeCell ref="B62:G62"/>
    <mergeCell ref="H62:I62"/>
    <mergeCell ref="B63:G63"/>
    <mergeCell ref="H63:I63"/>
    <mergeCell ref="B64:G64"/>
    <mergeCell ref="H64:I64"/>
    <mergeCell ref="B65:G65"/>
    <mergeCell ref="H65:I65"/>
    <mergeCell ref="B66:G66"/>
    <mergeCell ref="H66:I66"/>
    <mergeCell ref="B67:G67"/>
    <mergeCell ref="H67:I67"/>
    <mergeCell ref="B68:G68"/>
    <mergeCell ref="H68:I68"/>
    <mergeCell ref="B69:G69"/>
    <mergeCell ref="H69:I69"/>
    <mergeCell ref="B70:G70"/>
    <mergeCell ref="H70:I70"/>
    <mergeCell ref="B71:G71"/>
    <mergeCell ref="H71:I71"/>
    <mergeCell ref="B72:G72"/>
    <mergeCell ref="H72:I72"/>
    <mergeCell ref="B73:G73"/>
    <mergeCell ref="H73:I73"/>
    <mergeCell ref="B74:G74"/>
    <mergeCell ref="H74:I74"/>
    <mergeCell ref="B75:G75"/>
    <mergeCell ref="H75:I75"/>
    <mergeCell ref="B76:G76"/>
    <mergeCell ref="H76:I76"/>
    <mergeCell ref="B77:G77"/>
    <mergeCell ref="H77:I77"/>
    <mergeCell ref="B78:G78"/>
    <mergeCell ref="H78:I78"/>
    <mergeCell ref="B79:G79"/>
    <mergeCell ref="H79:I79"/>
    <mergeCell ref="B80:F80"/>
    <mergeCell ref="H80:I80"/>
    <mergeCell ref="B81:G81"/>
    <mergeCell ref="H81:I81"/>
    <mergeCell ref="B82:G82"/>
    <mergeCell ref="H82:I82"/>
    <mergeCell ref="B83:G83"/>
    <mergeCell ref="H83:I83"/>
    <mergeCell ref="B84:G84"/>
    <mergeCell ref="H84:I84"/>
    <mergeCell ref="B85:G85"/>
    <mergeCell ref="H85:I85"/>
    <mergeCell ref="A86:I86"/>
    <mergeCell ref="A87:I87"/>
    <mergeCell ref="J87:M87"/>
    <mergeCell ref="O87:R87"/>
    <mergeCell ref="B88:G88"/>
    <mergeCell ref="H88:I88"/>
    <mergeCell ref="B89:G89"/>
    <mergeCell ref="H89:I89"/>
    <mergeCell ref="B90:G90"/>
    <mergeCell ref="H90:I90"/>
    <mergeCell ref="B91:G91"/>
    <mergeCell ref="H91:I91"/>
    <mergeCell ref="B92:G92"/>
    <mergeCell ref="H92:I92"/>
    <mergeCell ref="B93:G93"/>
    <mergeCell ref="H93:I93"/>
    <mergeCell ref="B94:G94"/>
    <mergeCell ref="H94:I94"/>
    <mergeCell ref="B95:G95"/>
    <mergeCell ref="H95:I95"/>
    <mergeCell ref="B96:G96"/>
    <mergeCell ref="H96:I96"/>
    <mergeCell ref="B97:G97"/>
    <mergeCell ref="H97:I97"/>
    <mergeCell ref="B98:G98"/>
    <mergeCell ref="H98:I98"/>
    <mergeCell ref="B99:G99"/>
    <mergeCell ref="H99:I99"/>
    <mergeCell ref="B100:G100"/>
    <mergeCell ref="H100:I100"/>
    <mergeCell ref="B101:G101"/>
    <mergeCell ref="H101:I101"/>
    <mergeCell ref="B102:G102"/>
    <mergeCell ref="H102:I102"/>
    <mergeCell ref="B103:G103"/>
    <mergeCell ref="H103:I103"/>
    <mergeCell ref="B104:G104"/>
    <mergeCell ref="H104:I104"/>
    <mergeCell ref="B105:G105"/>
    <mergeCell ref="H105:I105"/>
    <mergeCell ref="B106:G106"/>
    <mergeCell ref="H106:I106"/>
    <mergeCell ref="B107:G107"/>
    <mergeCell ref="H107:I107"/>
    <mergeCell ref="B108:G108"/>
    <mergeCell ref="H108:I108"/>
    <mergeCell ref="B109:G109"/>
    <mergeCell ref="H109:I109"/>
    <mergeCell ref="B110:G110"/>
    <mergeCell ref="H110:I110"/>
    <mergeCell ref="B111:G111"/>
    <mergeCell ref="H111:I111"/>
    <mergeCell ref="B112:G112"/>
    <mergeCell ref="H112:I112"/>
    <mergeCell ref="B113:G113"/>
    <mergeCell ref="H113:I113"/>
    <mergeCell ref="B114:G114"/>
    <mergeCell ref="H114:I114"/>
    <mergeCell ref="B115:G115"/>
    <mergeCell ref="H115:I115"/>
    <mergeCell ref="B116:G116"/>
    <mergeCell ref="H116:I116"/>
    <mergeCell ref="B117:G117"/>
    <mergeCell ref="H117:I117"/>
    <mergeCell ref="B118:G118"/>
    <mergeCell ref="H118:I118"/>
    <mergeCell ref="B119:G119"/>
    <mergeCell ref="H119:I119"/>
    <mergeCell ref="B120:G120"/>
    <mergeCell ref="H120:I120"/>
    <mergeCell ref="B121:G121"/>
    <mergeCell ref="H121:I121"/>
    <mergeCell ref="B122:G122"/>
    <mergeCell ref="H122:I122"/>
    <mergeCell ref="B123:G123"/>
    <mergeCell ref="H123:I123"/>
    <mergeCell ref="B124:G124"/>
    <mergeCell ref="H124:I124"/>
    <mergeCell ref="B125:G125"/>
    <mergeCell ref="H125:I125"/>
    <mergeCell ref="B126:G126"/>
    <mergeCell ref="H126:I126"/>
    <mergeCell ref="B127:G127"/>
    <mergeCell ref="H127:I127"/>
    <mergeCell ref="B128:G128"/>
    <mergeCell ref="H128:I128"/>
    <mergeCell ref="B129:G129"/>
    <mergeCell ref="H129:I129"/>
    <mergeCell ref="A6:A11"/>
    <mergeCell ref="A12:A16"/>
    <mergeCell ref="A17:A22"/>
    <mergeCell ref="A23:A29"/>
    <mergeCell ref="A30:A35"/>
    <mergeCell ref="A36:A41"/>
    <mergeCell ref="A42:A47"/>
    <mergeCell ref="A48:A53"/>
    <mergeCell ref="A54:A60"/>
    <mergeCell ref="A61:A66"/>
    <mergeCell ref="A67:A73"/>
    <mergeCell ref="A74:A77"/>
    <mergeCell ref="A79:A80"/>
    <mergeCell ref="A81:A83"/>
    <mergeCell ref="A84:A85"/>
    <mergeCell ref="M12:M16"/>
    <mergeCell ref="M18:M19"/>
    <mergeCell ref="M20:M22"/>
    <mergeCell ref="M24:M28"/>
    <mergeCell ref="M31:M33"/>
    <mergeCell ref="M37:M39"/>
    <mergeCell ref="M43:M47"/>
    <mergeCell ref="M49:M50"/>
    <mergeCell ref="M51:M52"/>
    <mergeCell ref="M55:M58"/>
    <mergeCell ref="M68:M71"/>
    <mergeCell ref="M72:M73"/>
    <mergeCell ref="M79:M80"/>
    <mergeCell ref="M82:M83"/>
    <mergeCell ref="R12:R16"/>
    <mergeCell ref="R18:R19"/>
    <mergeCell ref="R20:R22"/>
    <mergeCell ref="R24:R28"/>
    <mergeCell ref="R31:R33"/>
    <mergeCell ref="R37:R39"/>
    <mergeCell ref="R43:R47"/>
    <mergeCell ref="R49:R50"/>
    <mergeCell ref="R51:R52"/>
    <mergeCell ref="R55:R58"/>
    <mergeCell ref="R68:R71"/>
    <mergeCell ref="R72:R73"/>
    <mergeCell ref="R79:R80"/>
    <mergeCell ref="R82:R83"/>
    <mergeCell ref="A1:M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综述</vt:lpstr>
      <vt:lpstr>PECMS(对内+对外PC)</vt:lpstr>
      <vt:lpstr>APP</vt:lpstr>
      <vt:lpstr>安全管理</vt:lpstr>
      <vt:lpstr>经营管理分析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不要说话</cp:lastModifiedBy>
  <dcterms:created xsi:type="dcterms:W3CDTF">2026-03-20T07:03:00Z</dcterms:created>
  <dcterms:modified xsi:type="dcterms:W3CDTF">2026-04-25T03:13:32Z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D82DB82D7DA64FA2A67AC28AAEC1E224_13</vt:lpwstr>
  </property>
  <property fmtid="{D5CDD505-2E9C-101B-9397-08002B2CF9AE}" pid="3" name="KSOProductBuildVer">
    <vt:lpwstr>2052-12.1.0.25865</vt:lpwstr>
  </property>
  <property fmtid="{D5CDD505-2E9C-101B-9397-08002B2CF9AE}" pid="4" name="CalculationRule">
    <vt:i4>1</vt:i4>
  </property>
</Properties>
</file>