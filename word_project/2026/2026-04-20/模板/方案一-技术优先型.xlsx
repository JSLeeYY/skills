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2"/>
  </bookViews>
  <sheets>
    <sheet name="说明" sheetId="1" r:id="rId1"/>
    <sheet name="资格审查" sheetId="2" r:id="rId2"/>
    <sheet name="定制开发评分" sheetId="3" r:id="rId3"/>
    <sheet name="驻场运维评分" sheetId="4" r:id="rId4"/>
    <sheet name="汇总排名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<sst xmlns="http://schemas.openxmlformats.org/spreadsheetml/2006/main" count="296" uniqueCount="245">
  <si>
    <t>软件项目供应商评审评分表</t>
  </si>
  <si>
    <t>适用说明</t>
  </si>
  <si>
    <t>本文件为正式商务风供应商评审评分表模板，适用于软件项目供应商比选场景。</t>
  </si>
  <si>
    <t>当前方案：方案一：技术优先型。已将除价格外的技术商务项拆解为可独立评分的细项，便于评委逐条打分。</t>
  </si>
  <si>
    <t>建议流程：先完成资格审查，再逐条录入技术商务分值，价格项按公式自动折算，最后查看汇总排名。</t>
  </si>
  <si>
    <t>使用方法</t>
  </si>
  <si>
    <t>1. 在“资格审查”页录入各供应商是否通过。</t>
  </si>
  <si>
    <t>2. 在评分页逐条填写各供应商原始分，每个细项分值不应超过该行分值。</t>
  </si>
  <si>
    <t>3. 在价格区录入各供应商有效报价，价格得分将自动计算。</t>
  </si>
  <si>
    <t>4. 在“汇总排名”页查看总分与排序结果。</t>
  </si>
  <si>
    <t>序号</t>
  </si>
  <si>
    <t>资格审查项</t>
  </si>
  <si>
    <t>审查说明</t>
  </si>
  <si>
    <t>供应商A</t>
  </si>
  <si>
    <t>供应商B</t>
  </si>
  <si>
    <t>供应商C</t>
  </si>
  <si>
    <t>供应商为依法设立并有效存续的法人或其他组织。</t>
  </si>
  <si>
    <t>任一关键资格项不满足时，原则上不进入详细评分。</t>
  </si>
  <si>
    <t>具备承担本项目所需的人员、技术和服务能力。</t>
  </si>
  <si>
    <t>能够开具合法合规发票。</t>
  </si>
  <si>
    <t>近三年无重大违法、失信或严重违约记录。</t>
  </si>
  <si>
    <t>接受采购文件或合同关键商务条款。</t>
  </si>
  <si>
    <t>满足项目最低响应时效或驻场要求。</t>
  </si>
  <si>
    <t>满足项目最低团队配置要求。</t>
  </si>
  <si>
    <t>提供的案例、资质、承诺材料真实有效。</t>
  </si>
  <si>
    <t>评审大项</t>
  </si>
  <si>
    <t>评审子项</t>
  </si>
  <si>
    <t>评分点</t>
  </si>
  <si>
    <t>分值</t>
  </si>
  <si>
    <t>评分标准</t>
  </si>
  <si>
    <t>供应商A原始分</t>
  </si>
  <si>
    <t>供应商B原始分</t>
  </si>
  <si>
    <t>供应商C原始分</t>
  </si>
  <si>
    <t>备注/评分依据</t>
  </si>
  <si>
    <t>供应商A有效报价</t>
  </si>
  <si>
    <t>供应商B有效报价</t>
  </si>
  <si>
    <t>供应商C有效报价</t>
  </si>
  <si>
    <t>项目理解与方案设计</t>
  </si>
  <si>
    <t>需求理解准确性</t>
  </si>
  <si>
    <t>对建设目标、核心需求、业务场景理解准确</t>
  </si>
  <si>
    <t>能够准确理解项目背景、业务目标、核心场景和建设范围，表述完整、针对性强得3分；理解基本到位但展开一般得1-2分；理解偏差明显得0分。</t>
  </si>
  <si>
    <t>业务匹配度</t>
  </si>
  <si>
    <t>方案与采购需求及业务流程匹配程度</t>
  </si>
  <si>
    <t>方案与业务流程、管理要求、实际应用场景匹配度高得3分；基本匹配得1-2分；匹配度弱得0分。</t>
  </si>
  <si>
    <t>边界与范围清晰度</t>
  </si>
  <si>
    <t>项目范围、职责边界、交付边界表述清楚</t>
  </si>
  <si>
    <t>对建设范围、职责边界、交付边界说明清晰明确得2分；表述较模糊得1分；未说明清楚得0分。</t>
  </si>
  <si>
    <t>架构设计完整性</t>
  </si>
  <si>
    <t>总体架构、模块关系、部署思路完整</t>
  </si>
  <si>
    <t>总体架构完整、模块关系清楚、部署思路明确得3分；基本完整得1-2分；缺失较多得0分。</t>
  </si>
  <si>
    <t>功能方案完整性</t>
  </si>
  <si>
    <t>功能设计覆盖主要需求和关键场景</t>
  </si>
  <si>
    <t>功能方案覆盖全面、关键场景体现充分得3分；覆盖一般得1-2分；明显缺失得0分。</t>
  </si>
  <si>
    <t>接口与数据方案</t>
  </si>
  <si>
    <t>接口衔接、数据处理、集成思路合理</t>
  </si>
  <si>
    <t>接口集成和数据处理方案合理、表述清楚得2分；一般得1分；缺乏清晰方案得0分。</t>
  </si>
  <si>
    <t>安全与可实施性</t>
  </si>
  <si>
    <t>安全控制和落地实施路径具备可行性</t>
  </si>
  <si>
    <t>具备明确安全控制和实施路径、可执行性强得2分；一般得1分；可实施性不足得0分。</t>
  </si>
  <si>
    <t>关键难点识别</t>
  </si>
  <si>
    <t>对重点难点和风险点识别充分</t>
  </si>
  <si>
    <t>能够识别关键难点和项目风险，判断准确得3分；识别一般得1-2分；未有效识别得0分。</t>
  </si>
  <si>
    <t>应对措施针对性</t>
  </si>
  <si>
    <t>针对难点提出具体可行措施</t>
  </si>
  <si>
    <t>措施具体、针对性强、具备可执行性得2分；措施一般得1分；措施空泛得0分。</t>
  </si>
  <si>
    <t>风险控制闭环</t>
  </si>
  <si>
    <t>风险预防、监控、应急安排完整</t>
  </si>
  <si>
    <t>形成较完整风险控制闭环得2分；基本具备得1分；缺失明显得0分。</t>
  </si>
  <si>
    <t>团队与实施能力</t>
  </si>
  <si>
    <t>项目经理配置</t>
  </si>
  <si>
    <t>项目经理资历、经验与项目匹配</t>
  </si>
  <si>
    <t>项目经理经验丰富、履历与项目高度匹配得3分；基本匹配得1-2分；匹配度低得0分。</t>
  </si>
  <si>
    <t>核心岗位完整性</t>
  </si>
  <si>
    <t>产品、设计、开发、测试、实施岗位齐备</t>
  </si>
  <si>
    <t>核心岗位配置完整、职责清晰得3分；基本完整得1-2分；岗位缺失明显得0分。</t>
  </si>
  <si>
    <t>核心成员匹配度</t>
  </si>
  <si>
    <t>核心成员经验与项目要求匹配</t>
  </si>
  <si>
    <t>成员经验与项目高度匹配得2分；基本匹配得1分；匹配不足得0分。</t>
  </si>
  <si>
    <t>阶段计划完整性</t>
  </si>
  <si>
    <t>实施阶段、任务安排、里程碑完整</t>
  </si>
  <si>
    <t>阶段计划完整、节点明确、里程碑清楚得3分；一般得1-2分；计划粗略得0分。</t>
  </si>
  <si>
    <t>进度可控性</t>
  </si>
  <si>
    <t>进度控制措施和资源调度安排合理</t>
  </si>
  <si>
    <t>具备清晰进度控制和资源调度安排得3分；一般得1-2分；控制能力弱得0分。</t>
  </si>
  <si>
    <t>交付物明确性</t>
  </si>
  <si>
    <t>各阶段交付成果定义清晰</t>
  </si>
  <si>
    <t>交付物清单明确、成果形式清楚得2分；一般得1分；不明确得0分。</t>
  </si>
  <si>
    <t>驻场安排</t>
  </si>
  <si>
    <t>驻场人员与时间安排明确</t>
  </si>
  <si>
    <t>驻场安排明确、投入合理、能满足项目协同需要得3分；一般得1-2分；安排较弱得0分。</t>
  </si>
  <si>
    <t>现场协同机制</t>
  </si>
  <si>
    <t>现场协同、接口人和沟通机制明确</t>
  </si>
  <si>
    <t>现场协同机制完整、接口人明确得2分；一般得1分；机制不清晰得0分。</t>
  </si>
  <si>
    <t>到场保障能力</t>
  </si>
  <si>
    <t>到场时效和现场支持能力可靠</t>
  </si>
  <si>
    <t>具备明确到场时效和现场支持承诺得2分；一般得1分；保障不足得0分。</t>
  </si>
  <si>
    <t>项目经验与资质</t>
  </si>
  <si>
    <t>案例数量与相关性</t>
  </si>
  <si>
    <t>类似项目案例数量充分且相关性高</t>
  </si>
  <si>
    <t>案例数量充分、与本项目行业或建设内容高度相关得4分；一般得1-3分；较少得0分。</t>
  </si>
  <si>
    <t>案例证明完整性</t>
  </si>
  <si>
    <t>案例合同、验收或用户证明材料充分</t>
  </si>
  <si>
    <t>证明材料充分、可验证性强得2分；一般得1分；支撑不足得0分。</t>
  </si>
  <si>
    <t>企业专业资质</t>
  </si>
  <si>
    <t>具备相关认证、软著、专利等专业证明</t>
  </si>
  <si>
    <t>资质、认证、软著、专利等与项目关联度高且证明充分得3分；一般得1-2分；较弱得0分。</t>
  </si>
  <si>
    <t>专业能力支撑度</t>
  </si>
  <si>
    <t>企业能力证明对项目形成直接支撑</t>
  </si>
  <si>
    <t>专业能力对项目支撑明显得2分；一般得1分；支撑不足得0分。</t>
  </si>
  <si>
    <t>服务与响应</t>
  </si>
  <si>
    <t>日常沟通机制</t>
  </si>
  <si>
    <t>例会、日报周报、接口人机制明确</t>
  </si>
  <si>
    <t>沟通机制明确、安排规范得2分；一般得1分；不清晰得0分。</t>
  </si>
  <si>
    <t>问题响应时效</t>
  </si>
  <si>
    <t>问题受理和响应承诺明确</t>
  </si>
  <si>
    <t>问题响应时效承诺清晰得1分；无明确承诺得0分。</t>
  </si>
  <si>
    <t>升级处理机制</t>
  </si>
  <si>
    <t>问题升级路径和闭环措施明确</t>
  </si>
  <si>
    <t>问题升级机制和闭环措施明确得1分；不清晰得0分。</t>
  </si>
  <si>
    <t>质保范围明确性</t>
  </si>
  <si>
    <t>售后质保内容和边界表述清晰</t>
  </si>
  <si>
    <t>质保内容和边界清晰得1分；不清晰得0分。</t>
  </si>
  <si>
    <t>售后支持措施</t>
  </si>
  <si>
    <t>售后支持、培训交接和维护安排合理</t>
  </si>
  <si>
    <t>售后支持、培训、交接安排较完整得2分；一般得1分；较弱得0分。</t>
  </si>
  <si>
    <t>商务与文件质量</t>
  </si>
  <si>
    <t>材料完整性</t>
  </si>
  <si>
    <t>资质、方案、报价、计划等材料齐全</t>
  </si>
  <si>
    <t>应答材料齐全完整得2分；基本齐全得1分；缺漏较多得0分。</t>
  </si>
  <si>
    <t>文件规范性</t>
  </si>
  <si>
    <t>文本格式、编排、逻辑和用语规范</t>
  </si>
  <si>
    <t>文件格式规范、表达正式、逻辑清楚得4分；本项已并入其他细项，不单独计分。</t>
  </si>
  <si>
    <t>内容清晰度</t>
  </si>
  <si>
    <t>内容组织清楚、便于评审查阅</t>
  </si>
  <si>
    <t>内容清楚、检索方便得1分；一般或较弱得0分。</t>
  </si>
  <si>
    <t>商务响应明确性</t>
  </si>
  <si>
    <t>对关键商务条款、服务承诺响应清晰</t>
  </si>
  <si>
    <t>商务响应和承诺清晰明确得1分；一般或不清晰得0分。</t>
  </si>
  <si>
    <t>价格评分</t>
  </si>
  <si>
    <t>报价得分</t>
  </si>
  <si>
    <t>最低价折算法自动计分</t>
  </si>
  <si>
    <t>价格部分采用公式法客观计分。最低有效报价者得满分30分，其他供应商按“最低有效报价/本供应商有效报价×30”自动折算。</t>
  </si>
  <si>
    <t>合计</t>
  </si>
  <si>
    <t>服务方案与理解</t>
  </si>
  <si>
    <t>服务范围理解</t>
  </si>
  <si>
    <t>对驻场、维护、升级、支持范围理解准确</t>
  </si>
  <si>
    <t>对服务范围理解准确、覆盖全面得3分；基本理解得1-2分；理解偏差得0分。</t>
  </si>
  <si>
    <t>服务边界清晰度</t>
  </si>
  <si>
    <t>职责边界、支持边界、交付边界清楚</t>
  </si>
  <si>
    <t>边界界定清晰得2分；一般得1分；不清晰得0分。</t>
  </si>
  <si>
    <t>服务目标匹配度</t>
  </si>
  <si>
    <t>服务安排与采购目标匹配程度高</t>
  </si>
  <si>
    <t>与采购目标和管理要求高度匹配得3分；一般得1-2分；匹配不足得0分。</t>
  </si>
  <si>
    <t>服务流程完整性</t>
  </si>
  <si>
    <t>服务受理、处理、关闭流程完整</t>
  </si>
  <si>
    <t>流程完整清楚得3分；一般得1-2分；流程缺失得0分。</t>
  </si>
  <si>
    <t>交接与报告机制</t>
  </si>
  <si>
    <t>交接、周报月报和服务报告安排清晰</t>
  </si>
  <si>
    <t>交接与报告机制明确得3分；一般得1-2分；不清晰得0分。</t>
  </si>
  <si>
    <t>方案执行性</t>
  </si>
  <si>
    <t>整体服务方案具备较强可执行性</t>
  </si>
  <si>
    <t>职责明确、路径清楚、具备实施条件得4分；一般得1-3分；执行性弱得0分。</t>
  </si>
  <si>
    <t>驻场与响应能力</t>
  </si>
  <si>
    <t>驻场人数配置</t>
  </si>
  <si>
    <t>驻场人数满足项目服务需要</t>
  </si>
  <si>
    <t>驻场人数投入充分得3分；基本满足得1-2分；不足得0分。</t>
  </si>
  <si>
    <t>岗位结构完整性</t>
  </si>
  <si>
    <t>驻场岗位配置合理、关键岗位齐备</t>
  </si>
  <si>
    <t>岗位结构完整、关键岗位齐备得3分；一般得1-2分；不完整得0分。</t>
  </si>
  <si>
    <t>人员稳定性</t>
  </si>
  <si>
    <t>驻场人员稳定性和延续性保障到位</t>
  </si>
  <si>
    <t>稳定性保障充分得2分；一般得1分；较弱得0分。</t>
  </si>
  <si>
    <t>替补机制</t>
  </si>
  <si>
    <t>替补或备份人员机制明确</t>
  </si>
  <si>
    <t>替补机制清晰得2分；一般得1分；无明确机制得0分。</t>
  </si>
  <si>
    <t>响应时效承诺</t>
  </si>
  <si>
    <t>远程和现场响应时效明确</t>
  </si>
  <si>
    <t>响应时效承诺清晰且较优得4分；一般得1-3分；不明确得0分。</t>
  </si>
  <si>
    <t>问题处置能力</t>
  </si>
  <si>
    <t>故障处理、问题闭环能力较强</t>
  </si>
  <si>
    <t>问题处置机制成熟得3分；一般得1-2分；较弱得0分。</t>
  </si>
  <si>
    <t>应急保障能力</t>
  </si>
  <si>
    <t>应急场景下支撑资源和预案充分</t>
  </si>
  <si>
    <t>应急预案充分、支撑资源明确得3分；一般得1-2分；较弱得0分。</t>
  </si>
  <si>
    <t>沟通汇报机制</t>
  </si>
  <si>
    <t>例会、汇报、升级路径安排规范</t>
  </si>
  <si>
    <t>沟通和汇报机制规范完整得5分；一般得1-4分；较弱得0分。</t>
  </si>
  <si>
    <t>经验与持续服务能力</t>
  </si>
  <si>
    <t>同类案例数量</t>
  </si>
  <si>
    <t>类似驻场或运维案例数量充分</t>
  </si>
  <si>
    <t>同类案例数量充分得4分；一般得1-3分；较少得0分。</t>
  </si>
  <si>
    <t>案例相关性</t>
  </si>
  <si>
    <t>案例与本项目服务模式和行业匹配</t>
  </si>
  <si>
    <t>案例相关性高得3分；一般得1-2分；较弱得0分。</t>
  </si>
  <si>
    <t>案例证明材料</t>
  </si>
  <si>
    <t>合同、验收、用户证明等材料充分</t>
  </si>
  <si>
    <t>证明材料充分得3分；一般得1-2分；不足得0分。</t>
  </si>
  <si>
    <t>知识沉淀机制</t>
  </si>
  <si>
    <t>知识库、文档沉淀机制健全</t>
  </si>
  <si>
    <t>知识沉淀机制明确得2分；一般得1分；无明确机制得0分。</t>
  </si>
  <si>
    <t>培训交接能力</t>
  </si>
  <si>
    <t>培训、交接、传帮带安排合理</t>
  </si>
  <si>
    <t>培训交接安排明确得1分；不明确得0分。</t>
  </si>
  <si>
    <t>持续优化能力</t>
  </si>
  <si>
    <t>持续改进和优化提升机制有效</t>
  </si>
  <si>
    <t>持续优化机制明确得2分；一般得1分；较弱得0分。</t>
  </si>
  <si>
    <t>商务响应完整性</t>
  </si>
  <si>
    <t>商务条款、服务承诺响应完整</t>
  </si>
  <si>
    <t>商务响应完整明确得4分；一般得1-3分；较弱得0分。</t>
  </si>
  <si>
    <t>服务承诺明确性</t>
  </si>
  <si>
    <t>时效、驻场、支持等承诺清晰</t>
  </si>
  <si>
    <t>服务承诺明确具体得3分；一般得1-2分；不清晰得0分。</t>
  </si>
  <si>
    <t>文件完整性</t>
  </si>
  <si>
    <t>资料齐全、内容完整、支撑充分</t>
  </si>
  <si>
    <t>材料完整充分得3分；一般得1-2分；缺漏较多得0分。</t>
  </si>
  <si>
    <t>格式规范、表达正式、便于查阅</t>
  </si>
  <si>
    <t>文件规范、查阅方便得2分；一般得1分；较弱得0分。</t>
  </si>
  <si>
    <t>项目类型</t>
  </si>
  <si>
    <t>排名说明</t>
  </si>
  <si>
    <t>定制开发项目总分</t>
  </si>
  <si>
    <t>总分=定制开发评分页全部细项得分合计（含价格公式得分），满分100分。</t>
  </si>
  <si>
    <t>驻场/运维项目总分</t>
  </si>
  <si>
    <t>总分=驻场运维评分页全部细项得分合计（含价格公式得分），满分100分。</t>
  </si>
  <si>
    <t>定制开发权重</t>
  </si>
  <si>
    <t>此处输入定制开发项目权重（百分比数值）。例如输入60，表示定制开发占60%。</t>
  </si>
  <si>
    <t>驻场/运维权重</t>
  </si>
  <si>
    <t>驻场/运维权重=100-定制开发权重；如需统一权重，仅修改B4-D4即可。</t>
  </si>
  <si>
    <t>综合评审总分</t>
  </si>
  <si>
    <t>综合评审总分=定制开发项目总分×定制开发权重+驻场/运维项目总分×驻场/运维权重，满分100分。</t>
  </si>
  <si>
    <t>总分使用前提</t>
  </si>
  <si>
    <t>资格审查通过</t>
  </si>
  <si>
    <t>建议仅对资格审查结论为“通过”的供应商引用总分和排名；如资格不通过，应取消排序资格或单独标注。</t>
  </si>
  <si>
    <t>综合评审排名</t>
  </si>
  <si>
    <t>按综合评审总分由高到低排名，分值相同则并列；建议作为最终推荐顺序的主要参考。</t>
  </si>
  <si>
    <t>定制开发项目排名</t>
  </si>
  <si>
    <t>按定制开发项目总分由高到低排名，分值相同则并列。</t>
  </si>
  <si>
    <t>驻场/运维项目排名</t>
  </si>
  <si>
    <t>按驻场/运维项目总分由高到低排名，分值相同则并列。</t>
  </si>
  <si>
    <t>汇总规则说明</t>
  </si>
  <si>
    <t>1. 各评分页分值结构已调整，总分上限为100分；评委录入的每项得分均不得超过该行D列分值。</t>
  </si>
  <si>
    <t>2. 技术商务总分采用细项累加法；价格项按公式自动计算，最终单页总分满分100分。</t>
  </si>
  <si>
    <t>3. 本页B4-D4可直接输入定制开发权重，系统将自动反算驻场/运维权重并实时更新综合评审总分。</t>
  </si>
  <si>
    <t>4. 综合评审总分=定制开发项目总分×定制开发权重+驻场/运维项目总分×驻场/运维权重。</t>
  </si>
  <si>
    <t>5. 如三家供应商采用相同权重，只需统一修改B4-D4为同一数值。</t>
  </si>
  <si>
    <t>6. 本页B7-D7当前为提示位，正式使用时建议根据资格审查结果手工填写“资格审查通过”或“资格审查不通过”。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</si>
</sst>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9" borderId="9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10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0" xfId="0" applyFont="1"/>
    <xf numFmtId="0" fontId="2" fillId="3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/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E37" sqref="E37"/>
    </sheetView>
  </sheetViews>
  <sheetFormatPr defaultColWidth="9" defaultRowHeight="14"/>
  <cols>
    <col min="1" max="2" width="18" customWidth="1"/>
    <col min="3" max="3" width="22" customWidth="1"/>
    <col min="4" max="4" width="12" customWidth="1"/>
    <col min="5" max="7" width="18" customWidth="1"/>
    <col min="8" max="9" width="20" customWidth="1"/>
  </cols>
  <sheetData>
    <row r="1" ht="17.5" spans="1:1">
      <c r="A1" s="20" t="s">
        <v>0</v>
      </c>
    </row>
    <row r="3" spans="1:1">
      <c r="A3" s="5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8" spans="1:1">
      <c r="A8" s="5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</sheetData>
  <mergeCells count="1">
    <mergeCell ref="A1:I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5"/>
  <cols>
    <col min="1" max="1" width="8" customWidth="1"/>
    <col min="2" max="2" width="42" customWidth="1"/>
    <col min="3" max="3" width="34" customWidth="1"/>
    <col min="4" max="6" width="14" customWidth="1"/>
  </cols>
  <sheetData>
    <row r="1" spans="1:6">
      <c r="A1" s="1" t="s">
        <v>10</v>
      </c>
      <c r="B1" s="2" t="s">
        <v>11</v>
      </c>
      <c r="C1" s="2" t="s">
        <v>12</v>
      </c>
      <c r="D1" s="1" t="s">
        <v>13</v>
      </c>
      <c r="E1" s="2" t="s">
        <v>14</v>
      </c>
      <c r="F1" s="1" t="s">
        <v>15</v>
      </c>
    </row>
    <row r="2" ht="28" spans="1:6">
      <c r="A2" s="3">
        <v>1</v>
      </c>
      <c r="B2" s="4" t="s">
        <v>16</v>
      </c>
      <c r="C2" s="4" t="s">
        <v>17</v>
      </c>
      <c r="D2" s="3"/>
      <c r="E2" s="4"/>
      <c r="F2" s="3"/>
    </row>
    <row r="3" ht="28" spans="1:6">
      <c r="A3" s="3">
        <v>2</v>
      </c>
      <c r="B3" s="4" t="s">
        <v>18</v>
      </c>
      <c r="C3" s="4" t="s">
        <v>17</v>
      </c>
      <c r="D3" s="3"/>
      <c r="E3" s="4"/>
      <c r="F3" s="3"/>
    </row>
    <row r="4" ht="28" spans="1:6">
      <c r="A4" s="3">
        <v>3</v>
      </c>
      <c r="B4" s="4" t="s">
        <v>19</v>
      </c>
      <c r="C4" s="4" t="s">
        <v>17</v>
      </c>
      <c r="D4" s="3"/>
      <c r="E4" s="4"/>
      <c r="F4" s="3"/>
    </row>
    <row r="5" ht="28" spans="1:6">
      <c r="A5" s="3">
        <v>4</v>
      </c>
      <c r="B5" s="4" t="s">
        <v>20</v>
      </c>
      <c r="C5" s="4" t="s">
        <v>17</v>
      </c>
      <c r="D5" s="3"/>
      <c r="E5" s="4"/>
      <c r="F5" s="3"/>
    </row>
    <row r="6" ht="28" spans="1:6">
      <c r="A6" s="3">
        <v>5</v>
      </c>
      <c r="B6" s="4" t="s">
        <v>21</v>
      </c>
      <c r="C6" s="4" t="s">
        <v>17</v>
      </c>
      <c r="D6" s="3"/>
      <c r="E6" s="4"/>
      <c r="F6" s="3"/>
    </row>
    <row r="7" ht="28" spans="1:6">
      <c r="A7" s="3">
        <v>6</v>
      </c>
      <c r="B7" s="4" t="s">
        <v>22</v>
      </c>
      <c r="C7" s="4" t="s">
        <v>17</v>
      </c>
      <c r="D7" s="3"/>
      <c r="E7" s="4"/>
      <c r="F7" s="3"/>
    </row>
    <row r="8" ht="28" spans="1:6">
      <c r="A8" s="3">
        <v>7</v>
      </c>
      <c r="B8" s="4" t="s">
        <v>23</v>
      </c>
      <c r="C8" s="4" t="s">
        <v>17</v>
      </c>
      <c r="D8" s="3"/>
      <c r="E8" s="4"/>
      <c r="F8" s="3"/>
    </row>
    <row r="9" ht="28" spans="1:6">
      <c r="A9" s="3">
        <v>8</v>
      </c>
      <c r="B9" s="4" t="s">
        <v>24</v>
      </c>
      <c r="C9" s="4" t="s">
        <v>17</v>
      </c>
      <c r="D9" s="3"/>
      <c r="E9" s="4"/>
      <c r="F9" s="3"/>
    </row>
  </sheetData>
  <dataValidations count="1">
    <dataValidation type="list" allowBlank="1" sqref="D2:F9">
      <formula1>"通过,不通过"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tabSelected="1" workbookViewId="0">
      <pane ySplit="1" topLeftCell="A15" activePane="bottomLeft" state="frozen"/>
      <selection/>
      <selection pane="bottomLeft" activeCell="E46" sqref="E46"/>
    </sheetView>
  </sheetViews>
  <sheetFormatPr defaultColWidth="9" defaultRowHeight="14"/>
  <cols>
    <col min="1" max="2" width="18" customWidth="1"/>
    <col min="3" max="3" width="28" customWidth="1"/>
    <col min="4" max="4" width="10" customWidth="1"/>
    <col min="5" max="5" width="55" customWidth="1"/>
    <col min="6" max="8" width="14" customWidth="1"/>
    <col min="9" max="9" width="24" customWidth="1"/>
    <col min="10" max="10" width="4" customWidth="1"/>
    <col min="11" max="13" width="16" customWidth="1"/>
  </cols>
  <sheetData>
    <row r="1" ht="28" spans="1:13">
      <c r="A1" s="1" t="s">
        <v>25</v>
      </c>
      <c r="B1" s="2" t="s">
        <v>26</v>
      </c>
      <c r="C1" s="2" t="s">
        <v>27</v>
      </c>
      <c r="D1" s="1" t="s">
        <v>28</v>
      </c>
      <c r="E1" s="2" t="s">
        <v>29</v>
      </c>
      <c r="F1" s="1" t="s">
        <v>30</v>
      </c>
      <c r="G1" s="1" t="s">
        <v>31</v>
      </c>
      <c r="H1" s="1" t="s">
        <v>32</v>
      </c>
      <c r="I1" s="2" t="s">
        <v>33</v>
      </c>
      <c r="K1" s="6" t="s">
        <v>34</v>
      </c>
      <c r="L1" s="6" t="s">
        <v>35</v>
      </c>
      <c r="M1" s="6" t="s">
        <v>36</v>
      </c>
    </row>
    <row r="2" ht="42" spans="1:13">
      <c r="A2" s="14" t="s">
        <v>37</v>
      </c>
      <c r="B2" s="8" t="s">
        <v>38</v>
      </c>
      <c r="C2" s="8" t="s">
        <v>39</v>
      </c>
      <c r="D2" s="7">
        <v>3</v>
      </c>
      <c r="E2" s="8" t="s">
        <v>40</v>
      </c>
      <c r="F2" s="7"/>
      <c r="G2" s="7"/>
      <c r="H2" s="7"/>
      <c r="I2" s="8"/>
      <c r="K2" s="9">
        <v>100</v>
      </c>
      <c r="L2" s="9">
        <v>120</v>
      </c>
      <c r="M2" s="9">
        <v>110</v>
      </c>
    </row>
    <row r="3" ht="28" spans="1:13">
      <c r="A3" s="15"/>
      <c r="B3" s="11" t="s">
        <v>41</v>
      </c>
      <c r="C3" s="11" t="s">
        <v>42</v>
      </c>
      <c r="D3" s="10">
        <v>3</v>
      </c>
      <c r="E3" s="11" t="s">
        <v>43</v>
      </c>
      <c r="F3" s="10"/>
      <c r="G3" s="10"/>
      <c r="H3" s="10"/>
      <c r="I3" s="11"/>
    </row>
    <row r="4" ht="28" spans="1:13">
      <c r="A4" s="15"/>
      <c r="B4" s="8" t="s">
        <v>44</v>
      </c>
      <c r="C4" s="8" t="s">
        <v>45</v>
      </c>
      <c r="D4" s="7">
        <v>2</v>
      </c>
      <c r="E4" s="8" t="s">
        <v>46</v>
      </c>
      <c r="F4" s="7"/>
      <c r="G4" s="7"/>
      <c r="H4" s="7"/>
      <c r="I4" s="8"/>
    </row>
    <row r="5" ht="28" spans="1:13">
      <c r="A5" s="15"/>
      <c r="B5" s="11" t="s">
        <v>47</v>
      </c>
      <c r="C5" s="11" t="s">
        <v>48</v>
      </c>
      <c r="D5" s="10">
        <v>3</v>
      </c>
      <c r="E5" s="11" t="s">
        <v>49</v>
      </c>
      <c r="F5" s="10"/>
      <c r="G5" s="10"/>
      <c r="H5" s="10"/>
      <c r="I5" s="11"/>
    </row>
    <row r="6" ht="28" spans="1:13">
      <c r="A6" s="15"/>
      <c r="B6" s="8" t="s">
        <v>50</v>
      </c>
      <c r="C6" s="8" t="s">
        <v>51</v>
      </c>
      <c r="D6" s="7">
        <v>3</v>
      </c>
      <c r="E6" s="8" t="s">
        <v>52</v>
      </c>
      <c r="F6" s="7"/>
      <c r="G6" s="7"/>
      <c r="H6" s="7"/>
      <c r="I6" s="8"/>
    </row>
    <row r="7" ht="28" spans="1:13">
      <c r="A7" s="15"/>
      <c r="B7" s="11" t="s">
        <v>53</v>
      </c>
      <c r="C7" s="11" t="s">
        <v>54</v>
      </c>
      <c r="D7" s="10">
        <v>2</v>
      </c>
      <c r="E7" s="11" t="s">
        <v>55</v>
      </c>
      <c r="F7" s="10"/>
      <c r="G7" s="10"/>
      <c r="H7" s="10"/>
      <c r="I7" s="11"/>
    </row>
    <row r="8" ht="28" spans="1:13">
      <c r="A8" s="15"/>
      <c r="B8" s="8" t="s">
        <v>56</v>
      </c>
      <c r="C8" s="8" t="s">
        <v>57</v>
      </c>
      <c r="D8" s="7">
        <v>2</v>
      </c>
      <c r="E8" s="8" t="s">
        <v>58</v>
      </c>
      <c r="F8" s="7"/>
      <c r="G8" s="7"/>
      <c r="H8" s="7"/>
      <c r="I8" s="8"/>
    </row>
    <row r="9" ht="28" spans="1:13">
      <c r="A9" s="15"/>
      <c r="B9" s="11" t="s">
        <v>59</v>
      </c>
      <c r="C9" s="11" t="s">
        <v>60</v>
      </c>
      <c r="D9" s="10">
        <v>3</v>
      </c>
      <c r="E9" s="11" t="s">
        <v>61</v>
      </c>
      <c r="F9" s="10"/>
      <c r="G9" s="10"/>
      <c r="H9" s="10"/>
      <c r="I9" s="11"/>
    </row>
    <row r="10" ht="28" spans="1:13">
      <c r="A10" s="15"/>
      <c r="B10" s="8" t="s">
        <v>62</v>
      </c>
      <c r="C10" s="8" t="s">
        <v>63</v>
      </c>
      <c r="D10" s="7">
        <v>2</v>
      </c>
      <c r="E10" s="8" t="s">
        <v>64</v>
      </c>
      <c r="F10" s="7"/>
      <c r="G10" s="7"/>
      <c r="H10" s="7"/>
      <c r="I10" s="8"/>
    </row>
    <row r="11" ht="28" spans="1:13">
      <c r="A11" s="16"/>
      <c r="B11" s="11" t="s">
        <v>65</v>
      </c>
      <c r="C11" s="11" t="s">
        <v>66</v>
      </c>
      <c r="D11" s="10">
        <v>2</v>
      </c>
      <c r="E11" s="11" t="s">
        <v>67</v>
      </c>
      <c r="F11" s="10"/>
      <c r="G11" s="10"/>
      <c r="H11" s="10"/>
      <c r="I11" s="11"/>
    </row>
    <row r="12" ht="28" spans="1:13">
      <c r="A12" s="14" t="s">
        <v>68</v>
      </c>
      <c r="B12" s="8" t="s">
        <v>69</v>
      </c>
      <c r="C12" s="8" t="s">
        <v>70</v>
      </c>
      <c r="D12" s="7">
        <v>3</v>
      </c>
      <c r="E12" s="8" t="s">
        <v>71</v>
      </c>
      <c r="F12" s="7"/>
      <c r="G12" s="7"/>
      <c r="H12" s="7"/>
      <c r="I12" s="8"/>
    </row>
    <row r="13" ht="28" spans="1:13">
      <c r="A13" s="15"/>
      <c r="B13" s="11" t="s">
        <v>72</v>
      </c>
      <c r="C13" s="11" t="s">
        <v>73</v>
      </c>
      <c r="D13" s="10">
        <v>3</v>
      </c>
      <c r="E13" s="11" t="s">
        <v>74</v>
      </c>
      <c r="F13" s="10"/>
      <c r="G13" s="10"/>
      <c r="H13" s="10"/>
      <c r="I13" s="11"/>
    </row>
    <row r="14" ht="28" spans="1:13">
      <c r="A14" s="15"/>
      <c r="B14" s="8" t="s">
        <v>75</v>
      </c>
      <c r="C14" s="8" t="s">
        <v>76</v>
      </c>
      <c r="D14" s="7">
        <v>2</v>
      </c>
      <c r="E14" s="8" t="s">
        <v>77</v>
      </c>
      <c r="F14" s="7"/>
      <c r="G14" s="7"/>
      <c r="H14" s="7"/>
      <c r="I14" s="8"/>
    </row>
    <row r="15" ht="28" spans="1:13">
      <c r="A15" s="15"/>
      <c r="B15" s="11" t="s">
        <v>78</v>
      </c>
      <c r="C15" s="11" t="s">
        <v>79</v>
      </c>
      <c r="D15" s="10">
        <v>3</v>
      </c>
      <c r="E15" s="11" t="s">
        <v>80</v>
      </c>
      <c r="F15" s="10"/>
      <c r="G15" s="10"/>
      <c r="H15" s="10"/>
      <c r="I15" s="11"/>
    </row>
    <row r="16" ht="28" spans="1:13">
      <c r="A16" s="15"/>
      <c r="B16" s="8" t="s">
        <v>81</v>
      </c>
      <c r="C16" s="8" t="s">
        <v>82</v>
      </c>
      <c r="D16" s="7">
        <v>3</v>
      </c>
      <c r="E16" s="8" t="s">
        <v>83</v>
      </c>
      <c r="F16" s="7"/>
      <c r="G16" s="7"/>
      <c r="H16" s="7"/>
      <c r="I16" s="8"/>
    </row>
    <row r="17" ht="28" spans="1:9">
      <c r="A17" s="15"/>
      <c r="B17" s="11" t="s">
        <v>84</v>
      </c>
      <c r="C17" s="11" t="s">
        <v>85</v>
      </c>
      <c r="D17" s="10">
        <v>2</v>
      </c>
      <c r="E17" s="11" t="s">
        <v>86</v>
      </c>
      <c r="F17" s="10"/>
      <c r="G17" s="10"/>
      <c r="H17" s="10"/>
      <c r="I17" s="11"/>
    </row>
    <row r="18" ht="28" spans="1:9">
      <c r="A18" s="15"/>
      <c r="B18" s="8" t="s">
        <v>87</v>
      </c>
      <c r="C18" s="8" t="s">
        <v>88</v>
      </c>
      <c r="D18" s="7">
        <v>3</v>
      </c>
      <c r="E18" s="8" t="s">
        <v>89</v>
      </c>
      <c r="F18" s="7"/>
      <c r="G18" s="7"/>
      <c r="H18" s="7"/>
      <c r="I18" s="8"/>
    </row>
    <row r="19" ht="28" spans="1:9">
      <c r="A19" s="15"/>
      <c r="B19" s="11" t="s">
        <v>90</v>
      </c>
      <c r="C19" s="11" t="s">
        <v>91</v>
      </c>
      <c r="D19" s="10">
        <v>2</v>
      </c>
      <c r="E19" s="11" t="s">
        <v>92</v>
      </c>
      <c r="F19" s="10"/>
      <c r="G19" s="10"/>
      <c r="H19" s="10"/>
      <c r="I19" s="11"/>
    </row>
    <row r="20" ht="28" spans="1:9">
      <c r="A20" s="16"/>
      <c r="B20" s="8" t="s">
        <v>93</v>
      </c>
      <c r="C20" s="8" t="s">
        <v>94</v>
      </c>
      <c r="D20" s="7">
        <v>2</v>
      </c>
      <c r="E20" s="8" t="s">
        <v>95</v>
      </c>
      <c r="F20" s="7"/>
      <c r="G20" s="7"/>
      <c r="H20" s="7"/>
      <c r="I20" s="8"/>
    </row>
    <row r="21" ht="28" spans="1:9">
      <c r="A21" s="17" t="s">
        <v>96</v>
      </c>
      <c r="B21" s="11" t="s">
        <v>97</v>
      </c>
      <c r="C21" s="11" t="s">
        <v>98</v>
      </c>
      <c r="D21" s="10">
        <v>4</v>
      </c>
      <c r="E21" s="11" t="s">
        <v>99</v>
      </c>
      <c r="F21" s="10"/>
      <c r="G21" s="10"/>
      <c r="H21" s="10"/>
      <c r="I21" s="11"/>
    </row>
    <row r="22" ht="28" spans="1:9">
      <c r="A22" s="18"/>
      <c r="B22" s="8" t="s">
        <v>100</v>
      </c>
      <c r="C22" s="8" t="s">
        <v>101</v>
      </c>
      <c r="D22" s="7">
        <v>2</v>
      </c>
      <c r="E22" s="8" t="s">
        <v>102</v>
      </c>
      <c r="F22" s="7"/>
      <c r="G22" s="7"/>
      <c r="H22" s="7"/>
      <c r="I22" s="8"/>
    </row>
    <row r="23" ht="28" spans="1:9">
      <c r="A23" s="18"/>
      <c r="B23" s="11" t="s">
        <v>103</v>
      </c>
      <c r="C23" s="11" t="s">
        <v>104</v>
      </c>
      <c r="D23" s="10">
        <v>3</v>
      </c>
      <c r="E23" s="11" t="s">
        <v>105</v>
      </c>
      <c r="F23" s="10"/>
      <c r="G23" s="10"/>
      <c r="H23" s="10"/>
      <c r="I23" s="11"/>
    </row>
    <row r="24" ht="28" spans="1:9">
      <c r="A24" s="19"/>
      <c r="B24" s="8" t="s">
        <v>106</v>
      </c>
      <c r="C24" s="8" t="s">
        <v>107</v>
      </c>
      <c r="D24" s="7">
        <v>2</v>
      </c>
      <c r="E24" s="8" t="s">
        <v>108</v>
      </c>
      <c r="F24" s="7"/>
      <c r="G24" s="7"/>
      <c r="H24" s="7"/>
      <c r="I24" s="8"/>
    </row>
    <row r="25" ht="28" spans="1:9">
      <c r="A25" s="17" t="s">
        <v>109</v>
      </c>
      <c r="B25" s="11" t="s">
        <v>110</v>
      </c>
      <c r="C25" s="11" t="s">
        <v>111</v>
      </c>
      <c r="D25" s="10">
        <v>2</v>
      </c>
      <c r="E25" s="11" t="s">
        <v>112</v>
      </c>
      <c r="F25" s="10"/>
      <c r="G25" s="10"/>
      <c r="H25" s="10"/>
      <c r="I25" s="11"/>
    </row>
    <row r="26" spans="1:9">
      <c r="A26" s="18"/>
      <c r="B26" s="8" t="s">
        <v>113</v>
      </c>
      <c r="C26" s="8" t="s">
        <v>114</v>
      </c>
      <c r="D26" s="7">
        <v>1</v>
      </c>
      <c r="E26" s="8" t="s">
        <v>115</v>
      </c>
      <c r="F26" s="7"/>
      <c r="G26" s="7"/>
      <c r="H26" s="7"/>
      <c r="I26" s="8"/>
    </row>
    <row r="27" spans="1:9">
      <c r="A27" s="18"/>
      <c r="B27" s="11" t="s">
        <v>116</v>
      </c>
      <c r="C27" s="11" t="s">
        <v>117</v>
      </c>
      <c r="D27" s="10">
        <v>1</v>
      </c>
      <c r="E27" s="11" t="s">
        <v>118</v>
      </c>
      <c r="F27" s="10"/>
      <c r="G27" s="10"/>
      <c r="H27" s="10"/>
      <c r="I27" s="11"/>
    </row>
    <row r="28" spans="1:9">
      <c r="A28" s="18"/>
      <c r="B28" s="8" t="s">
        <v>119</v>
      </c>
      <c r="C28" s="8" t="s">
        <v>120</v>
      </c>
      <c r="D28" s="7">
        <v>1</v>
      </c>
      <c r="E28" s="8" t="s">
        <v>121</v>
      </c>
      <c r="F28" s="7"/>
      <c r="G28" s="7"/>
      <c r="H28" s="7"/>
      <c r="I28" s="8"/>
    </row>
    <row r="29" ht="28" spans="1:9">
      <c r="A29" s="19"/>
      <c r="B29" s="11" t="s">
        <v>122</v>
      </c>
      <c r="C29" s="11" t="s">
        <v>123</v>
      </c>
      <c r="D29" s="10">
        <v>2</v>
      </c>
      <c r="E29" s="11" t="s">
        <v>124</v>
      </c>
      <c r="F29" s="10"/>
      <c r="G29" s="10"/>
      <c r="H29" s="10"/>
      <c r="I29" s="11"/>
    </row>
    <row r="30" ht="28" spans="1:9">
      <c r="A30" s="14" t="s">
        <v>125</v>
      </c>
      <c r="B30" s="8" t="s">
        <v>126</v>
      </c>
      <c r="C30" s="8" t="s">
        <v>127</v>
      </c>
      <c r="D30" s="7">
        <v>2</v>
      </c>
      <c r="E30" s="8" t="s">
        <v>128</v>
      </c>
      <c r="F30" s="7"/>
      <c r="G30" s="7"/>
      <c r="H30" s="7"/>
      <c r="I30" s="8"/>
    </row>
    <row r="31" ht="28" spans="1:9">
      <c r="A31" s="15"/>
      <c r="B31" s="11" t="s">
        <v>129</v>
      </c>
      <c r="C31" s="11" t="s">
        <v>130</v>
      </c>
      <c r="D31" s="10">
        <v>4</v>
      </c>
      <c r="E31" s="11" t="s">
        <v>131</v>
      </c>
      <c r="F31" s="10"/>
      <c r="G31" s="10"/>
      <c r="H31" s="10"/>
      <c r="I31" s="11"/>
    </row>
    <row r="32" spans="1:9">
      <c r="A32" s="15"/>
      <c r="B32" s="8" t="s">
        <v>132</v>
      </c>
      <c r="C32" s="8" t="s">
        <v>133</v>
      </c>
      <c r="D32" s="7">
        <v>1</v>
      </c>
      <c r="E32" s="8" t="s">
        <v>134</v>
      </c>
      <c r="F32" s="7"/>
      <c r="G32" s="7"/>
      <c r="H32" s="7"/>
      <c r="I32" s="8"/>
    </row>
    <row r="33" ht="28" spans="1:9">
      <c r="A33" s="16"/>
      <c r="B33" s="11" t="s">
        <v>135</v>
      </c>
      <c r="C33" s="11" t="s">
        <v>136</v>
      </c>
      <c r="D33" s="10">
        <v>1</v>
      </c>
      <c r="E33" s="11" t="s">
        <v>137</v>
      </c>
      <c r="F33" s="10"/>
      <c r="G33" s="10"/>
      <c r="H33" s="10"/>
      <c r="I33" s="11"/>
    </row>
    <row r="34" ht="42" spans="1:9">
      <c r="A34" s="7" t="s">
        <v>138</v>
      </c>
      <c r="B34" s="8" t="s">
        <v>139</v>
      </c>
      <c r="C34" s="8" t="s">
        <v>140</v>
      </c>
      <c r="D34" s="7">
        <v>30</v>
      </c>
      <c r="E34" s="8" t="s">
        <v>141</v>
      </c>
      <c r="F34" s="7">
        <f>IFERROR(MIN($K$2:$M$2)/K2*30,0)</f>
        <v>30</v>
      </c>
      <c r="G34" s="7">
        <f>IFERROR(MIN($K$2:$M$2)/L2*30,0)</f>
        <v>25</v>
      </c>
      <c r="H34" s="7">
        <f>IFERROR(MIN($K$2:$M$2)/M2*30,0)</f>
        <v>27.2727272727273</v>
      </c>
      <c r="I34" s="8"/>
    </row>
    <row r="35" spans="1:9">
      <c r="A35" s="12" t="s">
        <v>142</v>
      </c>
      <c r="B35" s="13"/>
      <c r="C35" s="13"/>
      <c r="D35" s="12">
        <v>100</v>
      </c>
      <c r="E35" s="13"/>
      <c r="F35" s="12">
        <f>SUM(F2:F34)</f>
        <v>30</v>
      </c>
      <c r="G35" s="12">
        <f>SUM(G2:G34)</f>
        <v>25</v>
      </c>
      <c r="H35" s="12">
        <f>SUM(H2:H34)</f>
        <v>27.2727272727273</v>
      </c>
      <c r="I35" s="13"/>
    </row>
  </sheetData>
  <mergeCells count="5">
    <mergeCell ref="A2:A11"/>
    <mergeCell ref="A12:A20"/>
    <mergeCell ref="A21:A24"/>
    <mergeCell ref="A25:A29"/>
    <mergeCell ref="A30:A33"/>
  </mergeCells>
  <conditionalFormatting sqref="F2">
    <cfRule type="expression" dxfId="0" priority="1" stopIfTrue="1">
      <formula>F2&gt;$D$2</formula>
    </cfRule>
  </conditionalFormatting>
  <conditionalFormatting sqref="G2">
    <cfRule type="expression" dxfId="0" priority="33" stopIfTrue="1">
      <formula>G2&gt;$D$2</formula>
    </cfRule>
  </conditionalFormatting>
  <conditionalFormatting sqref="H2">
    <cfRule type="expression" dxfId="0" priority="65" stopIfTrue="1">
      <formula>H2&gt;$D$2</formula>
    </cfRule>
  </conditionalFormatting>
  <conditionalFormatting sqref="F3">
    <cfRule type="expression" dxfId="0" priority="2" stopIfTrue="1">
      <formula>F3&gt;$D$3</formula>
    </cfRule>
  </conditionalFormatting>
  <conditionalFormatting sqref="G3">
    <cfRule type="expression" dxfId="0" priority="34" stopIfTrue="1">
      <formula>G3&gt;$D$3</formula>
    </cfRule>
  </conditionalFormatting>
  <conditionalFormatting sqref="H3">
    <cfRule type="expression" dxfId="0" priority="66" stopIfTrue="1">
      <formula>H3&gt;$D$3</formula>
    </cfRule>
  </conditionalFormatting>
  <conditionalFormatting sqref="F4">
    <cfRule type="expression" dxfId="0" priority="3" stopIfTrue="1">
      <formula>F4&gt;$D$4</formula>
    </cfRule>
  </conditionalFormatting>
  <conditionalFormatting sqref="G4">
    <cfRule type="expression" dxfId="0" priority="35" stopIfTrue="1">
      <formula>G4&gt;$D$4</formula>
    </cfRule>
  </conditionalFormatting>
  <conditionalFormatting sqref="H4">
    <cfRule type="expression" dxfId="0" priority="67" stopIfTrue="1">
      <formula>H4&gt;$D$4</formula>
    </cfRule>
  </conditionalFormatting>
  <conditionalFormatting sqref="F5">
    <cfRule type="expression" dxfId="0" priority="4" stopIfTrue="1">
      <formula>F5&gt;$D$5</formula>
    </cfRule>
  </conditionalFormatting>
  <conditionalFormatting sqref="G5">
    <cfRule type="expression" dxfId="0" priority="36" stopIfTrue="1">
      <formula>G5&gt;$D$5</formula>
    </cfRule>
  </conditionalFormatting>
  <conditionalFormatting sqref="H5">
    <cfRule type="expression" dxfId="0" priority="68" stopIfTrue="1">
      <formula>H5&gt;$D$5</formula>
    </cfRule>
  </conditionalFormatting>
  <conditionalFormatting sqref="F6">
    <cfRule type="expression" dxfId="0" priority="5" stopIfTrue="1">
      <formula>F6&gt;$D$6</formula>
    </cfRule>
  </conditionalFormatting>
  <conditionalFormatting sqref="G6">
    <cfRule type="expression" dxfId="0" priority="37" stopIfTrue="1">
      <formula>G6&gt;$D$6</formula>
    </cfRule>
  </conditionalFormatting>
  <conditionalFormatting sqref="H6">
    <cfRule type="expression" dxfId="0" priority="69" stopIfTrue="1">
      <formula>H6&gt;$D$6</formula>
    </cfRule>
  </conditionalFormatting>
  <conditionalFormatting sqref="F7">
    <cfRule type="expression" dxfId="0" priority="6" stopIfTrue="1">
      <formula>F7&gt;$D$7</formula>
    </cfRule>
  </conditionalFormatting>
  <conditionalFormatting sqref="G7">
    <cfRule type="expression" dxfId="0" priority="38" stopIfTrue="1">
      <formula>G7&gt;$D$7</formula>
    </cfRule>
  </conditionalFormatting>
  <conditionalFormatting sqref="H7">
    <cfRule type="expression" dxfId="0" priority="70" stopIfTrue="1">
      <formula>H7&gt;$D$7</formula>
    </cfRule>
  </conditionalFormatting>
  <conditionalFormatting sqref="F8">
    <cfRule type="expression" dxfId="0" priority="7" stopIfTrue="1">
      <formula>F8&gt;$D$8</formula>
    </cfRule>
  </conditionalFormatting>
  <conditionalFormatting sqref="G8">
    <cfRule type="expression" dxfId="0" priority="39" stopIfTrue="1">
      <formula>G8&gt;$D$8</formula>
    </cfRule>
  </conditionalFormatting>
  <conditionalFormatting sqref="H8">
    <cfRule type="expression" dxfId="0" priority="71" stopIfTrue="1">
      <formula>H8&gt;$D$8</formula>
    </cfRule>
  </conditionalFormatting>
  <conditionalFormatting sqref="F9">
    <cfRule type="expression" dxfId="0" priority="8" stopIfTrue="1">
      <formula>F9&gt;$D$9</formula>
    </cfRule>
  </conditionalFormatting>
  <conditionalFormatting sqref="G9">
    <cfRule type="expression" dxfId="0" priority="40" stopIfTrue="1">
      <formula>G9&gt;$D$9</formula>
    </cfRule>
  </conditionalFormatting>
  <conditionalFormatting sqref="H9">
    <cfRule type="expression" dxfId="0" priority="72" stopIfTrue="1">
      <formula>H9&gt;$D$9</formula>
    </cfRule>
  </conditionalFormatting>
  <conditionalFormatting sqref="F10">
    <cfRule type="expression" dxfId="0" priority="9" stopIfTrue="1">
      <formula>F10&gt;$D$10</formula>
    </cfRule>
  </conditionalFormatting>
  <conditionalFormatting sqref="G10">
    <cfRule type="expression" dxfId="0" priority="41" stopIfTrue="1">
      <formula>G10&gt;$D$10</formula>
    </cfRule>
  </conditionalFormatting>
  <conditionalFormatting sqref="H10">
    <cfRule type="expression" dxfId="0" priority="73" stopIfTrue="1">
      <formula>H10&gt;$D$10</formula>
    </cfRule>
  </conditionalFormatting>
  <conditionalFormatting sqref="F11">
    <cfRule type="expression" dxfId="0" priority="10" stopIfTrue="1">
      <formula>F11&gt;$D$11</formula>
    </cfRule>
  </conditionalFormatting>
  <conditionalFormatting sqref="G11">
    <cfRule type="expression" dxfId="0" priority="42" stopIfTrue="1">
      <formula>G11&gt;$D$11</formula>
    </cfRule>
  </conditionalFormatting>
  <conditionalFormatting sqref="H11">
    <cfRule type="expression" dxfId="0" priority="74" stopIfTrue="1">
      <formula>H11&gt;$D$11</formula>
    </cfRule>
  </conditionalFormatting>
  <conditionalFormatting sqref="F12">
    <cfRule type="expression" dxfId="0" priority="11" stopIfTrue="1">
      <formula>F12&gt;$D$12</formula>
    </cfRule>
  </conditionalFormatting>
  <conditionalFormatting sqref="G12">
    <cfRule type="expression" dxfId="0" priority="43" stopIfTrue="1">
      <formula>G12&gt;$D$12</formula>
    </cfRule>
  </conditionalFormatting>
  <conditionalFormatting sqref="H12">
    <cfRule type="expression" dxfId="0" priority="75" stopIfTrue="1">
      <formula>H12&gt;$D$12</formula>
    </cfRule>
  </conditionalFormatting>
  <conditionalFormatting sqref="F13">
    <cfRule type="expression" dxfId="0" priority="12" stopIfTrue="1">
      <formula>F13&gt;$D$13</formula>
    </cfRule>
  </conditionalFormatting>
  <conditionalFormatting sqref="G13">
    <cfRule type="expression" dxfId="0" priority="44" stopIfTrue="1">
      <formula>G13&gt;$D$13</formula>
    </cfRule>
  </conditionalFormatting>
  <conditionalFormatting sqref="H13">
    <cfRule type="expression" dxfId="0" priority="76" stopIfTrue="1">
      <formula>H13&gt;$D$13</formula>
    </cfRule>
  </conditionalFormatting>
  <conditionalFormatting sqref="F14">
    <cfRule type="expression" dxfId="0" priority="13" stopIfTrue="1">
      <formula>F14&gt;$D$14</formula>
    </cfRule>
  </conditionalFormatting>
  <conditionalFormatting sqref="G14">
    <cfRule type="expression" dxfId="0" priority="45" stopIfTrue="1">
      <formula>G14&gt;$D$14</formula>
    </cfRule>
  </conditionalFormatting>
  <conditionalFormatting sqref="H14">
    <cfRule type="expression" dxfId="0" priority="77" stopIfTrue="1">
      <formula>H14&gt;$D$14</formula>
    </cfRule>
  </conditionalFormatting>
  <conditionalFormatting sqref="F15">
    <cfRule type="expression" dxfId="0" priority="14" stopIfTrue="1">
      <formula>F15&gt;$D$15</formula>
    </cfRule>
  </conditionalFormatting>
  <conditionalFormatting sqref="G15">
    <cfRule type="expression" dxfId="0" priority="46" stopIfTrue="1">
      <formula>G15&gt;$D$15</formula>
    </cfRule>
  </conditionalFormatting>
  <conditionalFormatting sqref="H15">
    <cfRule type="expression" dxfId="0" priority="78" stopIfTrue="1">
      <formula>H15&gt;$D$15</formula>
    </cfRule>
  </conditionalFormatting>
  <conditionalFormatting sqref="F16">
    <cfRule type="expression" dxfId="0" priority="15" stopIfTrue="1">
      <formula>F16&gt;$D$16</formula>
    </cfRule>
  </conditionalFormatting>
  <conditionalFormatting sqref="G16">
    <cfRule type="expression" dxfId="0" priority="47" stopIfTrue="1">
      <formula>G16&gt;$D$16</formula>
    </cfRule>
  </conditionalFormatting>
  <conditionalFormatting sqref="H16">
    <cfRule type="expression" dxfId="0" priority="79" stopIfTrue="1">
      <formula>H16&gt;$D$16</formula>
    </cfRule>
  </conditionalFormatting>
  <conditionalFormatting sqref="F17">
    <cfRule type="expression" dxfId="0" priority="16" stopIfTrue="1">
      <formula>F17&gt;$D$17</formula>
    </cfRule>
  </conditionalFormatting>
  <conditionalFormatting sqref="G17">
    <cfRule type="expression" dxfId="0" priority="48" stopIfTrue="1">
      <formula>G17&gt;$D$17</formula>
    </cfRule>
  </conditionalFormatting>
  <conditionalFormatting sqref="H17">
    <cfRule type="expression" dxfId="0" priority="80" stopIfTrue="1">
      <formula>H17&gt;$D$17</formula>
    </cfRule>
  </conditionalFormatting>
  <conditionalFormatting sqref="F18">
    <cfRule type="expression" dxfId="0" priority="17" stopIfTrue="1">
      <formula>F18&gt;$D$18</formula>
    </cfRule>
  </conditionalFormatting>
  <conditionalFormatting sqref="G18">
    <cfRule type="expression" dxfId="0" priority="49" stopIfTrue="1">
      <formula>G18&gt;$D$18</formula>
    </cfRule>
  </conditionalFormatting>
  <conditionalFormatting sqref="H18">
    <cfRule type="expression" dxfId="0" priority="81" stopIfTrue="1">
      <formula>H18&gt;$D$18</formula>
    </cfRule>
  </conditionalFormatting>
  <conditionalFormatting sqref="F19">
    <cfRule type="expression" dxfId="0" priority="18" stopIfTrue="1">
      <formula>F19&gt;$D$19</formula>
    </cfRule>
  </conditionalFormatting>
  <conditionalFormatting sqref="G19">
    <cfRule type="expression" dxfId="0" priority="50" stopIfTrue="1">
      <formula>G19&gt;$D$19</formula>
    </cfRule>
  </conditionalFormatting>
  <conditionalFormatting sqref="H19">
    <cfRule type="expression" dxfId="0" priority="82" stopIfTrue="1">
      <formula>H19&gt;$D$19</formula>
    </cfRule>
  </conditionalFormatting>
  <conditionalFormatting sqref="F20">
    <cfRule type="expression" dxfId="0" priority="19" stopIfTrue="1">
      <formula>F20&gt;$D$20</formula>
    </cfRule>
  </conditionalFormatting>
  <conditionalFormatting sqref="G20">
    <cfRule type="expression" dxfId="0" priority="51" stopIfTrue="1">
      <formula>G20&gt;$D$20</formula>
    </cfRule>
  </conditionalFormatting>
  <conditionalFormatting sqref="H20">
    <cfRule type="expression" dxfId="0" priority="83" stopIfTrue="1">
      <formula>H20&gt;$D$20</formula>
    </cfRule>
  </conditionalFormatting>
  <conditionalFormatting sqref="F21">
    <cfRule type="expression" dxfId="0" priority="20" stopIfTrue="1">
      <formula>F21&gt;$D$21</formula>
    </cfRule>
  </conditionalFormatting>
  <conditionalFormatting sqref="G21">
    <cfRule type="expression" dxfId="0" priority="52" stopIfTrue="1">
      <formula>G21&gt;$D$21</formula>
    </cfRule>
  </conditionalFormatting>
  <conditionalFormatting sqref="H21">
    <cfRule type="expression" dxfId="0" priority="84" stopIfTrue="1">
      <formula>H21&gt;$D$21</formula>
    </cfRule>
  </conditionalFormatting>
  <conditionalFormatting sqref="F22">
    <cfRule type="expression" dxfId="0" priority="21" stopIfTrue="1">
      <formula>F22&gt;$D$22</formula>
    </cfRule>
  </conditionalFormatting>
  <conditionalFormatting sqref="G22">
    <cfRule type="expression" dxfId="0" priority="53" stopIfTrue="1">
      <formula>G22&gt;$D$22</formula>
    </cfRule>
  </conditionalFormatting>
  <conditionalFormatting sqref="H22">
    <cfRule type="expression" dxfId="0" priority="85" stopIfTrue="1">
      <formula>H22&gt;$D$22</formula>
    </cfRule>
  </conditionalFormatting>
  <conditionalFormatting sqref="F23">
    <cfRule type="expression" dxfId="0" priority="22" stopIfTrue="1">
      <formula>F23&gt;$D$23</formula>
    </cfRule>
  </conditionalFormatting>
  <conditionalFormatting sqref="G23">
    <cfRule type="expression" dxfId="0" priority="54" stopIfTrue="1">
      <formula>G23&gt;$D$23</formula>
    </cfRule>
  </conditionalFormatting>
  <conditionalFormatting sqref="H23">
    <cfRule type="expression" dxfId="0" priority="86" stopIfTrue="1">
      <formula>H23&gt;$D$23</formula>
    </cfRule>
  </conditionalFormatting>
  <conditionalFormatting sqref="F24">
    <cfRule type="expression" dxfId="0" priority="23" stopIfTrue="1">
      <formula>F24&gt;$D$24</formula>
    </cfRule>
  </conditionalFormatting>
  <conditionalFormatting sqref="G24">
    <cfRule type="expression" dxfId="0" priority="55" stopIfTrue="1">
      <formula>G24&gt;$D$24</formula>
    </cfRule>
  </conditionalFormatting>
  <conditionalFormatting sqref="H24">
    <cfRule type="expression" dxfId="0" priority="87" stopIfTrue="1">
      <formula>H24&gt;$D$24</formula>
    </cfRule>
  </conditionalFormatting>
  <conditionalFormatting sqref="F25">
    <cfRule type="expression" dxfId="0" priority="24" stopIfTrue="1">
      <formula>F25&gt;$D$25</formula>
    </cfRule>
  </conditionalFormatting>
  <conditionalFormatting sqref="G25">
    <cfRule type="expression" dxfId="0" priority="56" stopIfTrue="1">
      <formula>G25&gt;$D$25</formula>
    </cfRule>
  </conditionalFormatting>
  <conditionalFormatting sqref="H25">
    <cfRule type="expression" dxfId="0" priority="88" stopIfTrue="1">
      <formula>H25&gt;$D$25</formula>
    </cfRule>
  </conditionalFormatting>
  <conditionalFormatting sqref="F26">
    <cfRule type="expression" dxfId="0" priority="25" stopIfTrue="1">
      <formula>F26&gt;$D$26</formula>
    </cfRule>
  </conditionalFormatting>
  <conditionalFormatting sqref="G26">
    <cfRule type="expression" dxfId="0" priority="57" stopIfTrue="1">
      <formula>G26&gt;$D$26</formula>
    </cfRule>
  </conditionalFormatting>
  <conditionalFormatting sqref="H26">
    <cfRule type="expression" dxfId="0" priority="89" stopIfTrue="1">
      <formula>H26&gt;$D$26</formula>
    </cfRule>
  </conditionalFormatting>
  <conditionalFormatting sqref="F27">
    <cfRule type="expression" dxfId="0" priority="26" stopIfTrue="1">
      <formula>F27&gt;$D$27</formula>
    </cfRule>
  </conditionalFormatting>
  <conditionalFormatting sqref="G27">
    <cfRule type="expression" dxfId="0" priority="58" stopIfTrue="1">
      <formula>G27&gt;$D$27</formula>
    </cfRule>
  </conditionalFormatting>
  <conditionalFormatting sqref="H27">
    <cfRule type="expression" dxfId="0" priority="90" stopIfTrue="1">
      <formula>H27&gt;$D$27</formula>
    </cfRule>
  </conditionalFormatting>
  <conditionalFormatting sqref="F28">
    <cfRule type="expression" dxfId="0" priority="27" stopIfTrue="1">
      <formula>F28&gt;$D$28</formula>
    </cfRule>
  </conditionalFormatting>
  <conditionalFormatting sqref="G28">
    <cfRule type="expression" dxfId="0" priority="59" stopIfTrue="1">
      <formula>G28&gt;$D$28</formula>
    </cfRule>
  </conditionalFormatting>
  <conditionalFormatting sqref="H28">
    <cfRule type="expression" dxfId="0" priority="91" stopIfTrue="1">
      <formula>H28&gt;$D$28</formula>
    </cfRule>
  </conditionalFormatting>
  <conditionalFormatting sqref="F29">
    <cfRule type="expression" dxfId="0" priority="28" stopIfTrue="1">
      <formula>F29&gt;$D$29</formula>
    </cfRule>
  </conditionalFormatting>
  <conditionalFormatting sqref="G29">
    <cfRule type="expression" dxfId="0" priority="60" stopIfTrue="1">
      <formula>G29&gt;$D$29</formula>
    </cfRule>
  </conditionalFormatting>
  <conditionalFormatting sqref="H29">
    <cfRule type="expression" dxfId="0" priority="92" stopIfTrue="1">
      <formula>H29&gt;$D$29</formula>
    </cfRule>
  </conditionalFormatting>
  <conditionalFormatting sqref="F30">
    <cfRule type="expression" dxfId="0" priority="29" stopIfTrue="1">
      <formula>F30&gt;$D$30</formula>
    </cfRule>
  </conditionalFormatting>
  <conditionalFormatting sqref="G30">
    <cfRule type="expression" dxfId="0" priority="61" stopIfTrue="1">
      <formula>G30&gt;$D$30</formula>
    </cfRule>
  </conditionalFormatting>
  <conditionalFormatting sqref="H30">
    <cfRule type="expression" dxfId="0" priority="93" stopIfTrue="1">
      <formula>H30&gt;$D$30</formula>
    </cfRule>
  </conditionalFormatting>
  <conditionalFormatting sqref="F31">
    <cfRule type="expression" dxfId="0" priority="30" stopIfTrue="1">
      <formula>F31&gt;$D$31</formula>
    </cfRule>
  </conditionalFormatting>
  <conditionalFormatting sqref="G31">
    <cfRule type="expression" dxfId="0" priority="62" stopIfTrue="1">
      <formula>G31&gt;$D$31</formula>
    </cfRule>
  </conditionalFormatting>
  <conditionalFormatting sqref="H31">
    <cfRule type="expression" dxfId="0" priority="94" stopIfTrue="1">
      <formula>H31&gt;$D$31</formula>
    </cfRule>
  </conditionalFormatting>
  <conditionalFormatting sqref="F32">
    <cfRule type="expression" dxfId="0" priority="31" stopIfTrue="1">
      <formula>F32&gt;$D$32</formula>
    </cfRule>
  </conditionalFormatting>
  <conditionalFormatting sqref="G32">
    <cfRule type="expression" dxfId="0" priority="63" stopIfTrue="1">
      <formula>G32&gt;$D$32</formula>
    </cfRule>
  </conditionalFormatting>
  <conditionalFormatting sqref="H32">
    <cfRule type="expression" dxfId="0" priority="95" stopIfTrue="1">
      <formula>H32&gt;$D$32</formula>
    </cfRule>
  </conditionalFormatting>
  <conditionalFormatting sqref="F33">
    <cfRule type="expression" dxfId="0" priority="32" stopIfTrue="1">
      <formula>F33&gt;$D$33</formula>
    </cfRule>
  </conditionalFormatting>
  <conditionalFormatting sqref="G33">
    <cfRule type="expression" dxfId="0" priority="64" stopIfTrue="1">
      <formula>G33&gt;$D$33</formula>
    </cfRule>
  </conditionalFormatting>
  <conditionalFormatting sqref="H33">
    <cfRule type="expression" dxfId="0" priority="96" stopIfTrue="1">
      <formula>H33&gt;$D$33</formula>
    </cfRule>
  </conditionalFormatting>
  <dataValidations count="32">
    <dataValidation type="decimal" operator="between" allowBlank="1" errorTitle="分值输入有误" error="请输入0到D2之间的分数，且不得超过本行分值。" sqref="F2:H2">
      <formula1>0</formula1>
      <formula2>$D$2</formula2>
    </dataValidation>
    <dataValidation type="decimal" operator="between" allowBlank="1" errorTitle="分值输入有误" error="请输入0到D3之间的分数，且不得超过本行分值。" sqref="F3:H3">
      <formula1>0</formula1>
      <formula2>$D$3</formula2>
    </dataValidation>
    <dataValidation type="decimal" operator="between" allowBlank="1" errorTitle="分值输入有误" error="请输入0到D4之间的分数，且不得超过本行分值。" sqref="F4:H4">
      <formula1>0</formula1>
      <formula2>$D$4</formula2>
    </dataValidation>
    <dataValidation type="decimal" operator="between" allowBlank="1" errorTitle="分值输入有误" error="请输入0到D5之间的分数，且不得超过本行分值。" sqref="F5:H5">
      <formula1>0</formula1>
      <formula2>$D$5</formula2>
    </dataValidation>
    <dataValidation type="decimal" operator="between" allowBlank="1" errorTitle="分值输入有误" error="请输入0到D6之间的分数，且不得超过本行分值。" sqref="F6:H6">
      <formula1>0</formula1>
      <formula2>$D$6</formula2>
    </dataValidation>
    <dataValidation type="decimal" operator="between" allowBlank="1" errorTitle="分值输入有误" error="请输入0到D7之间的分数，且不得超过本行分值。" sqref="F7:H7">
      <formula1>0</formula1>
      <formula2>$D$7</formula2>
    </dataValidation>
    <dataValidation type="decimal" operator="between" allowBlank="1" errorTitle="分值输入有误" error="请输入0到D8之间的分数，且不得超过本行分值。" sqref="F8:H8">
      <formula1>0</formula1>
      <formula2>$D$8</formula2>
    </dataValidation>
    <dataValidation type="decimal" operator="between" allowBlank="1" errorTitle="分值输入有误" error="请输入0到D9之间的分数，且不得超过本行分值。" sqref="F9:H9">
      <formula1>0</formula1>
      <formula2>$D$9</formula2>
    </dataValidation>
    <dataValidation type="decimal" operator="between" allowBlank="1" errorTitle="分值输入有误" error="请输入0到D10之间的分数，且不得超过本行分值。" sqref="F10:H10">
      <formula1>0</formula1>
      <formula2>$D$10</formula2>
    </dataValidation>
    <dataValidation type="decimal" operator="between" allowBlank="1" errorTitle="分值输入有误" error="请输入0到D11之间的分数，且不得超过本行分值。" sqref="F11:H11">
      <formula1>0</formula1>
      <formula2>$D$11</formula2>
    </dataValidation>
    <dataValidation type="decimal" operator="between" allowBlank="1" errorTitle="分值输入有误" error="请输入0到D12之间的分数，且不得超过本行分值。" sqref="F12:H12">
      <formula1>0</formula1>
      <formula2>$D$12</formula2>
    </dataValidation>
    <dataValidation type="decimal" operator="between" allowBlank="1" errorTitle="分值输入有误" error="请输入0到D13之间的分数，且不得超过本行分值。" sqref="F13:H13">
      <formula1>0</formula1>
      <formula2>$D$13</formula2>
    </dataValidation>
    <dataValidation type="decimal" operator="between" allowBlank="1" errorTitle="分值输入有误" error="请输入0到D14之间的分数，且不得超过本行分值。" sqref="F14:H14">
      <formula1>0</formula1>
      <formula2>$D$14</formula2>
    </dataValidation>
    <dataValidation type="decimal" operator="between" allowBlank="1" errorTitle="分值输入有误" error="请输入0到D15之间的分数，且不得超过本行分值。" sqref="F15:H15">
      <formula1>0</formula1>
      <formula2>$D$15</formula2>
    </dataValidation>
    <dataValidation type="decimal" operator="between" allowBlank="1" errorTitle="分值输入有误" error="请输入0到D16之间的分数，且不得超过本行分值。" sqref="F16:H16">
      <formula1>0</formula1>
      <formula2>$D$16</formula2>
    </dataValidation>
    <dataValidation type="decimal" operator="between" allowBlank="1" errorTitle="分值输入有误" error="请输入0到D17之间的分数，且不得超过本行分值。" sqref="F17:H17">
      <formula1>0</formula1>
      <formula2>$D$17</formula2>
    </dataValidation>
    <dataValidation type="decimal" operator="between" allowBlank="1" errorTitle="分值输入有误" error="请输入0到D18之间的分数，且不得超过本行分值。" sqref="F18:H18">
      <formula1>0</formula1>
      <formula2>$D$18</formula2>
    </dataValidation>
    <dataValidation type="decimal" operator="between" allowBlank="1" errorTitle="分值输入有误" error="请输入0到D19之间的分数，且不得超过本行分值。" sqref="F19:H19">
      <formula1>0</formula1>
      <formula2>$D$19</formula2>
    </dataValidation>
    <dataValidation type="decimal" operator="between" allowBlank="1" errorTitle="分值输入有误" error="请输入0到D20之间的分数，且不得超过本行分值。" sqref="F20:H20">
      <formula1>0</formula1>
      <formula2>$D$20</formula2>
    </dataValidation>
    <dataValidation type="decimal" operator="between" allowBlank="1" errorTitle="分值输入有误" error="请输入0到D21之间的分数，且不得超过本行分值。" sqref="F21:H21">
      <formula1>0</formula1>
      <formula2>$D$21</formula2>
    </dataValidation>
    <dataValidation type="decimal" operator="between" allowBlank="1" errorTitle="分值输入有误" error="请输入0到D22之间的分数，且不得超过本行分值。" sqref="F22:H22">
      <formula1>0</formula1>
      <formula2>$D$22</formula2>
    </dataValidation>
    <dataValidation type="decimal" operator="between" allowBlank="1" errorTitle="分值输入有误" error="请输入0到D23之间的分数，且不得超过本行分值。" sqref="F23:H23">
      <formula1>0</formula1>
      <formula2>$D$23</formula2>
    </dataValidation>
    <dataValidation type="decimal" operator="between" allowBlank="1" errorTitle="分值输入有误" error="请输入0到D24之间的分数，且不得超过本行分值。" sqref="F24:H24">
      <formula1>0</formula1>
      <formula2>$D$24</formula2>
    </dataValidation>
    <dataValidation type="decimal" operator="between" allowBlank="1" errorTitle="分值输入有误" error="请输入0到D25之间的分数，且不得超过本行分值。" sqref="F25:H25">
      <formula1>0</formula1>
      <formula2>$D$25</formula2>
    </dataValidation>
    <dataValidation type="decimal" operator="between" allowBlank="1" errorTitle="分值输入有误" error="请输入0到D26之间的分数，且不得超过本行分值。" sqref="F26:H26">
      <formula1>0</formula1>
      <formula2>$D$26</formula2>
    </dataValidation>
    <dataValidation type="decimal" operator="between" allowBlank="1" errorTitle="分值输入有误" error="请输入0到D27之间的分数，且不得超过本行分值。" sqref="F27:H27">
      <formula1>0</formula1>
      <formula2>$D$27</formula2>
    </dataValidation>
    <dataValidation type="decimal" operator="between" allowBlank="1" errorTitle="分值输入有误" error="请输入0到D28之间的分数，且不得超过本行分值。" sqref="F28:H28">
      <formula1>0</formula1>
      <formula2>$D$28</formula2>
    </dataValidation>
    <dataValidation type="decimal" operator="between" allowBlank="1" errorTitle="分值输入有误" error="请输入0到D29之间的分数，且不得超过本行分值。" sqref="F29:H29">
      <formula1>0</formula1>
      <formula2>$D$29</formula2>
    </dataValidation>
    <dataValidation type="decimal" operator="between" allowBlank="1" errorTitle="分值输入有误" error="请输入0到D30之间的分数，且不得超过本行分值。" sqref="F30:H30">
      <formula1>0</formula1>
      <formula2>$D$30</formula2>
    </dataValidation>
    <dataValidation type="decimal" operator="between" allowBlank="1" errorTitle="分值输入有误" error="请输入0到D31之间的分数，且不得超过本行分值。" sqref="F31:H31">
      <formula1>0</formula1>
      <formula2>$D$31</formula2>
    </dataValidation>
    <dataValidation type="decimal" operator="between" allowBlank="1" errorTitle="分值输入有误" error="请输入0到D32之间的分数，且不得超过本行分值。" sqref="F32:H32">
      <formula1>0</formula1>
      <formula2>$D$32</formula2>
    </dataValidation>
    <dataValidation type="decimal" operator="between" allowBlank="1" errorTitle="分值输入有误" error="请输入0到D33之间的分数，且不得超过本行分值。" sqref="F33:H33">
      <formula1>0</formula1>
      <formula2>$D$33</formula2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workbookViewId="0">
      <pane ySplit="1" topLeftCell="A2" activePane="bottomLeft" state="frozen"/>
      <selection/>
      <selection pane="bottomLeft" activeCell="D26" sqref="D2:D26"/>
    </sheetView>
  </sheetViews>
  <sheetFormatPr defaultColWidth="9" defaultRowHeight="14"/>
  <cols>
    <col min="1" max="2" width="18" customWidth="1"/>
    <col min="3" max="3" width="28" customWidth="1"/>
    <col min="4" max="4" width="10" customWidth="1"/>
    <col min="5" max="5" width="55" customWidth="1"/>
    <col min="6" max="8" width="14" customWidth="1"/>
    <col min="9" max="9" width="24" customWidth="1"/>
    <col min="10" max="10" width="4" customWidth="1"/>
    <col min="11" max="13" width="16" customWidth="1"/>
  </cols>
  <sheetData>
    <row r="1" ht="28" spans="1:13">
      <c r="A1" s="1" t="s">
        <v>25</v>
      </c>
      <c r="B1" s="2" t="s">
        <v>26</v>
      </c>
      <c r="C1" s="2" t="s">
        <v>27</v>
      </c>
      <c r="D1" s="1" t="s">
        <v>28</v>
      </c>
      <c r="E1" s="2" t="s">
        <v>29</v>
      </c>
      <c r="F1" s="1" t="s">
        <v>30</v>
      </c>
      <c r="G1" s="1" t="s">
        <v>31</v>
      </c>
      <c r="H1" s="1" t="s">
        <v>32</v>
      </c>
      <c r="I1" s="2" t="s">
        <v>33</v>
      </c>
      <c r="K1" s="6" t="s">
        <v>34</v>
      </c>
      <c r="L1" s="6" t="s">
        <v>35</v>
      </c>
      <c r="M1" s="6" t="s">
        <v>36</v>
      </c>
    </row>
    <row r="2" ht="28" spans="1:13">
      <c r="A2" s="7" t="s">
        <v>143</v>
      </c>
      <c r="B2" s="8" t="s">
        <v>144</v>
      </c>
      <c r="C2" s="8" t="s">
        <v>145</v>
      </c>
      <c r="D2" s="7">
        <v>3</v>
      </c>
      <c r="E2" s="8" t="s">
        <v>146</v>
      </c>
      <c r="F2" s="7"/>
      <c r="G2" s="7"/>
      <c r="H2" s="7"/>
      <c r="I2" s="8"/>
      <c r="K2" s="9">
        <v>100</v>
      </c>
      <c r="L2" s="9">
        <v>120</v>
      </c>
      <c r="M2" s="9">
        <v>110</v>
      </c>
    </row>
    <row r="3" ht="28" spans="1:13">
      <c r="A3" s="10" t="s">
        <v>143</v>
      </c>
      <c r="B3" s="11" t="s">
        <v>147</v>
      </c>
      <c r="C3" s="11" t="s">
        <v>148</v>
      </c>
      <c r="D3" s="10">
        <v>2</v>
      </c>
      <c r="E3" s="11" t="s">
        <v>149</v>
      </c>
      <c r="F3" s="10"/>
      <c r="G3" s="10"/>
      <c r="H3" s="10"/>
      <c r="I3" s="11"/>
    </row>
    <row r="4" ht="28" spans="1:13">
      <c r="A4" s="7" t="s">
        <v>143</v>
      </c>
      <c r="B4" s="8" t="s">
        <v>150</v>
      </c>
      <c r="C4" s="8" t="s">
        <v>151</v>
      </c>
      <c r="D4" s="7">
        <v>3</v>
      </c>
      <c r="E4" s="8" t="s">
        <v>152</v>
      </c>
      <c r="F4" s="7"/>
      <c r="G4" s="7"/>
      <c r="H4" s="7"/>
      <c r="I4" s="8"/>
    </row>
    <row r="5" ht="28" spans="1:13">
      <c r="A5" s="10" t="s">
        <v>143</v>
      </c>
      <c r="B5" s="11" t="s">
        <v>153</v>
      </c>
      <c r="C5" s="11" t="s">
        <v>154</v>
      </c>
      <c r="D5" s="10">
        <v>3</v>
      </c>
      <c r="E5" s="11" t="s">
        <v>155</v>
      </c>
      <c r="F5" s="10"/>
      <c r="G5" s="10"/>
      <c r="H5" s="10"/>
      <c r="I5" s="11"/>
    </row>
    <row r="6" ht="28" spans="1:13">
      <c r="A6" s="7" t="s">
        <v>143</v>
      </c>
      <c r="B6" s="8" t="s">
        <v>156</v>
      </c>
      <c r="C6" s="8" t="s">
        <v>157</v>
      </c>
      <c r="D6" s="7">
        <v>3</v>
      </c>
      <c r="E6" s="8" t="s">
        <v>158</v>
      </c>
      <c r="F6" s="7"/>
      <c r="G6" s="7"/>
      <c r="H6" s="7"/>
      <c r="I6" s="8"/>
    </row>
    <row r="7" ht="28" spans="1:13">
      <c r="A7" s="10" t="s">
        <v>143</v>
      </c>
      <c r="B7" s="11" t="s">
        <v>159</v>
      </c>
      <c r="C7" s="11" t="s">
        <v>160</v>
      </c>
      <c r="D7" s="10">
        <v>4</v>
      </c>
      <c r="E7" s="11" t="s">
        <v>161</v>
      </c>
      <c r="F7" s="10"/>
      <c r="G7" s="10"/>
      <c r="H7" s="10"/>
      <c r="I7" s="11"/>
    </row>
    <row r="8" spans="1:13">
      <c r="A8" s="7" t="s">
        <v>162</v>
      </c>
      <c r="B8" s="8" t="s">
        <v>163</v>
      </c>
      <c r="C8" s="8" t="s">
        <v>164</v>
      </c>
      <c r="D8" s="7">
        <v>3</v>
      </c>
      <c r="E8" s="8" t="s">
        <v>165</v>
      </c>
      <c r="F8" s="7"/>
      <c r="G8" s="7"/>
      <c r="H8" s="7"/>
      <c r="I8" s="8"/>
    </row>
    <row r="9" ht="28" spans="1:13">
      <c r="A9" s="10" t="s">
        <v>162</v>
      </c>
      <c r="B9" s="11" t="s">
        <v>166</v>
      </c>
      <c r="C9" s="11" t="s">
        <v>167</v>
      </c>
      <c r="D9" s="10">
        <v>3</v>
      </c>
      <c r="E9" s="11" t="s">
        <v>168</v>
      </c>
      <c r="F9" s="10"/>
      <c r="G9" s="10"/>
      <c r="H9" s="10"/>
      <c r="I9" s="11"/>
    </row>
    <row r="10" ht="28" spans="1:13">
      <c r="A10" s="7" t="s">
        <v>162</v>
      </c>
      <c r="B10" s="8" t="s">
        <v>169</v>
      </c>
      <c r="C10" s="8" t="s">
        <v>170</v>
      </c>
      <c r="D10" s="7">
        <v>2</v>
      </c>
      <c r="E10" s="8" t="s">
        <v>171</v>
      </c>
      <c r="F10" s="7"/>
      <c r="G10" s="7"/>
      <c r="H10" s="7"/>
      <c r="I10" s="8"/>
    </row>
    <row r="11" spans="1:13">
      <c r="A11" s="10" t="s">
        <v>162</v>
      </c>
      <c r="B11" s="11" t="s">
        <v>172</v>
      </c>
      <c r="C11" s="11" t="s">
        <v>173</v>
      </c>
      <c r="D11" s="10">
        <v>2</v>
      </c>
      <c r="E11" s="11" t="s">
        <v>174</v>
      </c>
      <c r="F11" s="10"/>
      <c r="G11" s="10"/>
      <c r="H11" s="10"/>
      <c r="I11" s="11"/>
    </row>
    <row r="12" ht="28" spans="1:13">
      <c r="A12" s="7" t="s">
        <v>162</v>
      </c>
      <c r="B12" s="8" t="s">
        <v>175</v>
      </c>
      <c r="C12" s="8" t="s">
        <v>176</v>
      </c>
      <c r="D12" s="7">
        <v>4</v>
      </c>
      <c r="E12" s="8" t="s">
        <v>177</v>
      </c>
      <c r="F12" s="7"/>
      <c r="G12" s="7"/>
      <c r="H12" s="7"/>
      <c r="I12" s="8"/>
    </row>
    <row r="13" spans="1:13">
      <c r="A13" s="10" t="s">
        <v>162</v>
      </c>
      <c r="B13" s="11" t="s">
        <v>178</v>
      </c>
      <c r="C13" s="11" t="s">
        <v>179</v>
      </c>
      <c r="D13" s="10">
        <v>3</v>
      </c>
      <c r="E13" s="11" t="s">
        <v>180</v>
      </c>
      <c r="F13" s="10"/>
      <c r="G13" s="10"/>
      <c r="H13" s="10"/>
      <c r="I13" s="11"/>
    </row>
    <row r="14" ht="28" spans="1:13">
      <c r="A14" s="7" t="s">
        <v>162</v>
      </c>
      <c r="B14" s="8" t="s">
        <v>181</v>
      </c>
      <c r="C14" s="8" t="s">
        <v>182</v>
      </c>
      <c r="D14" s="7">
        <v>3</v>
      </c>
      <c r="E14" s="8" t="s">
        <v>183</v>
      </c>
      <c r="F14" s="7"/>
      <c r="G14" s="7"/>
      <c r="H14" s="7"/>
      <c r="I14" s="8"/>
    </row>
    <row r="15" ht="28" spans="1:13">
      <c r="A15" s="10" t="s">
        <v>162</v>
      </c>
      <c r="B15" s="11" t="s">
        <v>184</v>
      </c>
      <c r="C15" s="11" t="s">
        <v>185</v>
      </c>
      <c r="D15" s="10">
        <v>5</v>
      </c>
      <c r="E15" s="11" t="s">
        <v>186</v>
      </c>
      <c r="F15" s="10"/>
      <c r="G15" s="10"/>
      <c r="H15" s="10"/>
      <c r="I15" s="11"/>
    </row>
    <row r="16" ht="28" spans="1:13">
      <c r="A16" s="7" t="s">
        <v>187</v>
      </c>
      <c r="B16" s="8" t="s">
        <v>188</v>
      </c>
      <c r="C16" s="8" t="s">
        <v>189</v>
      </c>
      <c r="D16" s="7">
        <v>4</v>
      </c>
      <c r="E16" s="8" t="s">
        <v>190</v>
      </c>
      <c r="F16" s="7"/>
      <c r="G16" s="7"/>
      <c r="H16" s="7"/>
      <c r="I16" s="8"/>
    </row>
    <row r="17" ht="28" spans="1:9">
      <c r="A17" s="10" t="s">
        <v>187</v>
      </c>
      <c r="B17" s="11" t="s">
        <v>191</v>
      </c>
      <c r="C17" s="11" t="s">
        <v>192</v>
      </c>
      <c r="D17" s="10">
        <v>3</v>
      </c>
      <c r="E17" s="11" t="s">
        <v>193</v>
      </c>
      <c r="F17" s="10"/>
      <c r="G17" s="10"/>
      <c r="H17" s="10"/>
      <c r="I17" s="11"/>
    </row>
    <row r="18" ht="28" spans="1:9">
      <c r="A18" s="7" t="s">
        <v>187</v>
      </c>
      <c r="B18" s="8" t="s">
        <v>194</v>
      </c>
      <c r="C18" s="8" t="s">
        <v>195</v>
      </c>
      <c r="D18" s="7">
        <v>3</v>
      </c>
      <c r="E18" s="8" t="s">
        <v>196</v>
      </c>
      <c r="F18" s="7"/>
      <c r="G18" s="7"/>
      <c r="H18" s="7"/>
      <c r="I18" s="8"/>
    </row>
    <row r="19" ht="28" spans="1:9">
      <c r="A19" s="10" t="s">
        <v>187</v>
      </c>
      <c r="B19" s="11" t="s">
        <v>197</v>
      </c>
      <c r="C19" s="11" t="s">
        <v>198</v>
      </c>
      <c r="D19" s="10">
        <v>2</v>
      </c>
      <c r="E19" s="11" t="s">
        <v>199</v>
      </c>
      <c r="F19" s="10"/>
      <c r="G19" s="10"/>
      <c r="H19" s="10"/>
      <c r="I19" s="11"/>
    </row>
    <row r="20" ht="28" spans="1:9">
      <c r="A20" s="7" t="s">
        <v>187</v>
      </c>
      <c r="B20" s="8" t="s">
        <v>200</v>
      </c>
      <c r="C20" s="8" t="s">
        <v>201</v>
      </c>
      <c r="D20" s="7">
        <v>1</v>
      </c>
      <c r="E20" s="8" t="s">
        <v>202</v>
      </c>
      <c r="F20" s="7"/>
      <c r="G20" s="7"/>
      <c r="H20" s="7"/>
      <c r="I20" s="8"/>
    </row>
    <row r="21" ht="28" spans="1:9">
      <c r="A21" s="10" t="s">
        <v>187</v>
      </c>
      <c r="B21" s="11" t="s">
        <v>203</v>
      </c>
      <c r="C21" s="11" t="s">
        <v>204</v>
      </c>
      <c r="D21" s="10">
        <v>2</v>
      </c>
      <c r="E21" s="11" t="s">
        <v>205</v>
      </c>
      <c r="F21" s="10"/>
      <c r="G21" s="10"/>
      <c r="H21" s="10"/>
      <c r="I21" s="11"/>
    </row>
    <row r="22" spans="1:9">
      <c r="A22" s="7" t="s">
        <v>125</v>
      </c>
      <c r="B22" s="8" t="s">
        <v>206</v>
      </c>
      <c r="C22" s="8" t="s">
        <v>207</v>
      </c>
      <c r="D22" s="7">
        <v>4</v>
      </c>
      <c r="E22" s="8" t="s">
        <v>208</v>
      </c>
      <c r="F22" s="7"/>
      <c r="G22" s="7"/>
      <c r="H22" s="7"/>
      <c r="I22" s="8"/>
    </row>
    <row r="23" spans="1:9">
      <c r="A23" s="10" t="s">
        <v>125</v>
      </c>
      <c r="B23" s="11" t="s">
        <v>209</v>
      </c>
      <c r="C23" s="11" t="s">
        <v>210</v>
      </c>
      <c r="D23" s="10">
        <v>3</v>
      </c>
      <c r="E23" s="11" t="s">
        <v>211</v>
      </c>
      <c r="F23" s="10"/>
      <c r="G23" s="10"/>
      <c r="H23" s="10"/>
      <c r="I23" s="11"/>
    </row>
    <row r="24" ht="28" spans="1:9">
      <c r="A24" s="7" t="s">
        <v>125</v>
      </c>
      <c r="B24" s="8" t="s">
        <v>212</v>
      </c>
      <c r="C24" s="8" t="s">
        <v>213</v>
      </c>
      <c r="D24" s="7">
        <v>3</v>
      </c>
      <c r="E24" s="8" t="s">
        <v>214</v>
      </c>
      <c r="F24" s="7"/>
      <c r="G24" s="7"/>
      <c r="H24" s="7"/>
      <c r="I24" s="8"/>
    </row>
    <row r="25" ht="28" spans="1:9">
      <c r="A25" s="10" t="s">
        <v>125</v>
      </c>
      <c r="B25" s="11" t="s">
        <v>129</v>
      </c>
      <c r="C25" s="11" t="s">
        <v>215</v>
      </c>
      <c r="D25" s="10">
        <v>2</v>
      </c>
      <c r="E25" s="11" t="s">
        <v>216</v>
      </c>
      <c r="F25" s="10"/>
      <c r="G25" s="10"/>
      <c r="H25" s="10"/>
      <c r="I25" s="11"/>
    </row>
    <row r="26" ht="42" spans="1:9">
      <c r="A26" s="7" t="s">
        <v>138</v>
      </c>
      <c r="B26" s="8" t="s">
        <v>139</v>
      </c>
      <c r="C26" s="8" t="s">
        <v>140</v>
      </c>
      <c r="D26" s="7">
        <v>30</v>
      </c>
      <c r="E26" s="8" t="s">
        <v>141</v>
      </c>
      <c r="F26" s="7">
        <f>IFERROR(MIN($K$2:$M$2)/K2*30,0)</f>
        <v>30</v>
      </c>
      <c r="G26" s="7">
        <f>IFERROR(MIN($K$2:$M$2)/L2*30,0)</f>
        <v>25</v>
      </c>
      <c r="H26" s="7">
        <f>IFERROR(MIN($K$2:$M$2)/M2*30,0)</f>
        <v>27.2727272727273</v>
      </c>
      <c r="I26" s="8"/>
    </row>
    <row r="27" spans="1:9">
      <c r="A27" s="12" t="s">
        <v>142</v>
      </c>
      <c r="B27" s="13"/>
      <c r="C27" s="13"/>
      <c r="D27" s="12">
        <v>100</v>
      </c>
      <c r="E27" s="13"/>
      <c r="F27" s="12">
        <f>SUM(F2:F26)</f>
        <v>30</v>
      </c>
      <c r="G27" s="12">
        <f>SUM(G2:G26)</f>
        <v>25</v>
      </c>
      <c r="H27" s="12">
        <f>SUM(H2:H26)</f>
        <v>27.2727272727273</v>
      </c>
      <c r="I27" s="13"/>
    </row>
  </sheetData>
  <conditionalFormatting sqref="F2">
    <cfRule type="expression" dxfId="0" priority="1" stopIfTrue="1">
      <formula>F2&gt;$D$2</formula>
    </cfRule>
  </conditionalFormatting>
  <conditionalFormatting sqref="G2">
    <cfRule type="expression" dxfId="0" priority="25" stopIfTrue="1">
      <formula>G2&gt;$D$2</formula>
    </cfRule>
  </conditionalFormatting>
  <conditionalFormatting sqref="H2">
    <cfRule type="expression" dxfId="0" priority="49" stopIfTrue="1">
      <formula>H2&gt;$D$2</formula>
    </cfRule>
  </conditionalFormatting>
  <conditionalFormatting sqref="F3">
    <cfRule type="expression" dxfId="0" priority="2" stopIfTrue="1">
      <formula>F3&gt;$D$3</formula>
    </cfRule>
  </conditionalFormatting>
  <conditionalFormatting sqref="G3">
    <cfRule type="expression" dxfId="0" priority="26" stopIfTrue="1">
      <formula>G3&gt;$D$3</formula>
    </cfRule>
  </conditionalFormatting>
  <conditionalFormatting sqref="H3">
    <cfRule type="expression" dxfId="0" priority="50" stopIfTrue="1">
      <formula>H3&gt;$D$3</formula>
    </cfRule>
  </conditionalFormatting>
  <conditionalFormatting sqref="F4">
    <cfRule type="expression" dxfId="0" priority="3" stopIfTrue="1">
      <formula>F4&gt;$D$4</formula>
    </cfRule>
  </conditionalFormatting>
  <conditionalFormatting sqref="G4">
    <cfRule type="expression" dxfId="0" priority="27" stopIfTrue="1">
      <formula>G4&gt;$D$4</formula>
    </cfRule>
  </conditionalFormatting>
  <conditionalFormatting sqref="H4">
    <cfRule type="expression" dxfId="0" priority="51" stopIfTrue="1">
      <formula>H4&gt;$D$4</formula>
    </cfRule>
  </conditionalFormatting>
  <conditionalFormatting sqref="F5">
    <cfRule type="expression" dxfId="0" priority="4" stopIfTrue="1">
      <formula>F5&gt;$D$5</formula>
    </cfRule>
  </conditionalFormatting>
  <conditionalFormatting sqref="G5">
    <cfRule type="expression" dxfId="0" priority="28" stopIfTrue="1">
      <formula>G5&gt;$D$5</formula>
    </cfRule>
  </conditionalFormatting>
  <conditionalFormatting sqref="H5">
    <cfRule type="expression" dxfId="0" priority="52" stopIfTrue="1">
      <formula>H5&gt;$D$5</formula>
    </cfRule>
  </conditionalFormatting>
  <conditionalFormatting sqref="F6">
    <cfRule type="expression" dxfId="0" priority="5" stopIfTrue="1">
      <formula>F6&gt;$D$6</formula>
    </cfRule>
  </conditionalFormatting>
  <conditionalFormatting sqref="G6">
    <cfRule type="expression" dxfId="0" priority="29" stopIfTrue="1">
      <formula>G6&gt;$D$6</formula>
    </cfRule>
  </conditionalFormatting>
  <conditionalFormatting sqref="H6">
    <cfRule type="expression" dxfId="0" priority="53" stopIfTrue="1">
      <formula>H6&gt;$D$6</formula>
    </cfRule>
  </conditionalFormatting>
  <conditionalFormatting sqref="F7">
    <cfRule type="expression" dxfId="0" priority="6" stopIfTrue="1">
      <formula>F7&gt;$D$7</formula>
    </cfRule>
  </conditionalFormatting>
  <conditionalFormatting sqref="G7">
    <cfRule type="expression" dxfId="0" priority="30" stopIfTrue="1">
      <formula>G7&gt;$D$7</formula>
    </cfRule>
  </conditionalFormatting>
  <conditionalFormatting sqref="H7">
    <cfRule type="expression" dxfId="0" priority="54" stopIfTrue="1">
      <formula>H7&gt;$D$7</formula>
    </cfRule>
  </conditionalFormatting>
  <conditionalFormatting sqref="F8">
    <cfRule type="expression" dxfId="0" priority="7" stopIfTrue="1">
      <formula>F8&gt;$D$8</formula>
    </cfRule>
  </conditionalFormatting>
  <conditionalFormatting sqref="G8">
    <cfRule type="expression" dxfId="0" priority="31" stopIfTrue="1">
      <formula>G8&gt;$D$8</formula>
    </cfRule>
  </conditionalFormatting>
  <conditionalFormatting sqref="H8">
    <cfRule type="expression" dxfId="0" priority="55" stopIfTrue="1">
      <formula>H8&gt;$D$8</formula>
    </cfRule>
  </conditionalFormatting>
  <conditionalFormatting sqref="F9">
    <cfRule type="expression" dxfId="0" priority="8" stopIfTrue="1">
      <formula>F9&gt;$D$9</formula>
    </cfRule>
  </conditionalFormatting>
  <conditionalFormatting sqref="G9">
    <cfRule type="expression" dxfId="0" priority="32" stopIfTrue="1">
      <formula>G9&gt;$D$9</formula>
    </cfRule>
  </conditionalFormatting>
  <conditionalFormatting sqref="H9">
    <cfRule type="expression" dxfId="0" priority="56" stopIfTrue="1">
      <formula>H9&gt;$D$9</formula>
    </cfRule>
  </conditionalFormatting>
  <conditionalFormatting sqref="F10">
    <cfRule type="expression" dxfId="0" priority="9" stopIfTrue="1">
      <formula>F10&gt;$D$10</formula>
    </cfRule>
  </conditionalFormatting>
  <conditionalFormatting sqref="G10">
    <cfRule type="expression" dxfId="0" priority="33" stopIfTrue="1">
      <formula>G10&gt;$D$10</formula>
    </cfRule>
  </conditionalFormatting>
  <conditionalFormatting sqref="H10">
    <cfRule type="expression" dxfId="0" priority="57" stopIfTrue="1">
      <formula>H10&gt;$D$10</formula>
    </cfRule>
  </conditionalFormatting>
  <conditionalFormatting sqref="F11">
    <cfRule type="expression" dxfId="0" priority="10" stopIfTrue="1">
      <formula>F11&gt;$D$11</formula>
    </cfRule>
  </conditionalFormatting>
  <conditionalFormatting sqref="G11">
    <cfRule type="expression" dxfId="0" priority="34" stopIfTrue="1">
      <formula>G11&gt;$D$11</formula>
    </cfRule>
  </conditionalFormatting>
  <conditionalFormatting sqref="H11">
    <cfRule type="expression" dxfId="0" priority="58" stopIfTrue="1">
      <formula>H11&gt;$D$11</formula>
    </cfRule>
  </conditionalFormatting>
  <conditionalFormatting sqref="F12">
    <cfRule type="expression" dxfId="0" priority="11" stopIfTrue="1">
      <formula>F12&gt;$D$12</formula>
    </cfRule>
  </conditionalFormatting>
  <conditionalFormatting sqref="G12">
    <cfRule type="expression" dxfId="0" priority="35" stopIfTrue="1">
      <formula>G12&gt;$D$12</formula>
    </cfRule>
  </conditionalFormatting>
  <conditionalFormatting sqref="H12">
    <cfRule type="expression" dxfId="0" priority="59" stopIfTrue="1">
      <formula>H12&gt;$D$12</formula>
    </cfRule>
  </conditionalFormatting>
  <conditionalFormatting sqref="F13">
    <cfRule type="expression" dxfId="0" priority="12" stopIfTrue="1">
      <formula>F13&gt;$D$13</formula>
    </cfRule>
  </conditionalFormatting>
  <conditionalFormatting sqref="G13">
    <cfRule type="expression" dxfId="0" priority="36" stopIfTrue="1">
      <formula>G13&gt;$D$13</formula>
    </cfRule>
  </conditionalFormatting>
  <conditionalFormatting sqref="H13">
    <cfRule type="expression" dxfId="0" priority="60" stopIfTrue="1">
      <formula>H13&gt;$D$13</formula>
    </cfRule>
  </conditionalFormatting>
  <conditionalFormatting sqref="F14">
    <cfRule type="expression" dxfId="0" priority="13" stopIfTrue="1">
      <formula>F14&gt;$D$14</formula>
    </cfRule>
  </conditionalFormatting>
  <conditionalFormatting sqref="G14">
    <cfRule type="expression" dxfId="0" priority="37" stopIfTrue="1">
      <formula>G14&gt;$D$14</formula>
    </cfRule>
  </conditionalFormatting>
  <conditionalFormatting sqref="H14">
    <cfRule type="expression" dxfId="0" priority="61" stopIfTrue="1">
      <formula>H14&gt;$D$14</formula>
    </cfRule>
  </conditionalFormatting>
  <conditionalFormatting sqref="F15">
    <cfRule type="expression" dxfId="0" priority="14" stopIfTrue="1">
      <formula>F15&gt;$D$15</formula>
    </cfRule>
  </conditionalFormatting>
  <conditionalFormatting sqref="G15">
    <cfRule type="expression" dxfId="0" priority="38" stopIfTrue="1">
      <formula>G15&gt;$D$15</formula>
    </cfRule>
  </conditionalFormatting>
  <conditionalFormatting sqref="H15">
    <cfRule type="expression" dxfId="0" priority="62" stopIfTrue="1">
      <formula>H15&gt;$D$15</formula>
    </cfRule>
  </conditionalFormatting>
  <conditionalFormatting sqref="F16">
    <cfRule type="expression" dxfId="0" priority="15" stopIfTrue="1">
      <formula>F16&gt;$D$16</formula>
    </cfRule>
  </conditionalFormatting>
  <conditionalFormatting sqref="G16">
    <cfRule type="expression" dxfId="0" priority="39" stopIfTrue="1">
      <formula>G16&gt;$D$16</formula>
    </cfRule>
  </conditionalFormatting>
  <conditionalFormatting sqref="H16">
    <cfRule type="expression" dxfId="0" priority="63" stopIfTrue="1">
      <formula>H16&gt;$D$16</formula>
    </cfRule>
  </conditionalFormatting>
  <conditionalFormatting sqref="F17">
    <cfRule type="expression" dxfId="0" priority="16" stopIfTrue="1">
      <formula>F17&gt;$D$17</formula>
    </cfRule>
  </conditionalFormatting>
  <conditionalFormatting sqref="G17">
    <cfRule type="expression" dxfId="0" priority="40" stopIfTrue="1">
      <formula>G17&gt;$D$17</formula>
    </cfRule>
  </conditionalFormatting>
  <conditionalFormatting sqref="H17">
    <cfRule type="expression" dxfId="0" priority="64" stopIfTrue="1">
      <formula>H17&gt;$D$17</formula>
    </cfRule>
  </conditionalFormatting>
  <conditionalFormatting sqref="F18">
    <cfRule type="expression" dxfId="0" priority="17" stopIfTrue="1">
      <formula>F18&gt;$D$18</formula>
    </cfRule>
  </conditionalFormatting>
  <conditionalFormatting sqref="G18">
    <cfRule type="expression" dxfId="0" priority="41" stopIfTrue="1">
      <formula>G18&gt;$D$18</formula>
    </cfRule>
  </conditionalFormatting>
  <conditionalFormatting sqref="H18">
    <cfRule type="expression" dxfId="0" priority="65" stopIfTrue="1">
      <formula>H18&gt;$D$18</formula>
    </cfRule>
  </conditionalFormatting>
  <conditionalFormatting sqref="F19">
    <cfRule type="expression" dxfId="0" priority="18" stopIfTrue="1">
      <formula>F19&gt;$D$19</formula>
    </cfRule>
  </conditionalFormatting>
  <conditionalFormatting sqref="G19">
    <cfRule type="expression" dxfId="0" priority="42" stopIfTrue="1">
      <formula>G19&gt;$D$19</formula>
    </cfRule>
  </conditionalFormatting>
  <conditionalFormatting sqref="H19">
    <cfRule type="expression" dxfId="0" priority="66" stopIfTrue="1">
      <formula>H19&gt;$D$19</formula>
    </cfRule>
  </conditionalFormatting>
  <conditionalFormatting sqref="F20">
    <cfRule type="expression" dxfId="0" priority="19" stopIfTrue="1">
      <formula>F20&gt;$D$20</formula>
    </cfRule>
  </conditionalFormatting>
  <conditionalFormatting sqref="G20">
    <cfRule type="expression" dxfId="0" priority="43" stopIfTrue="1">
      <formula>G20&gt;$D$20</formula>
    </cfRule>
  </conditionalFormatting>
  <conditionalFormatting sqref="H20">
    <cfRule type="expression" dxfId="0" priority="67" stopIfTrue="1">
      <formula>H20&gt;$D$20</formula>
    </cfRule>
  </conditionalFormatting>
  <conditionalFormatting sqref="F21">
    <cfRule type="expression" dxfId="0" priority="20" stopIfTrue="1">
      <formula>F21&gt;$D$21</formula>
    </cfRule>
  </conditionalFormatting>
  <conditionalFormatting sqref="G21">
    <cfRule type="expression" dxfId="0" priority="44" stopIfTrue="1">
      <formula>G21&gt;$D$21</formula>
    </cfRule>
  </conditionalFormatting>
  <conditionalFormatting sqref="H21">
    <cfRule type="expression" dxfId="0" priority="68" stopIfTrue="1">
      <formula>H21&gt;$D$21</formula>
    </cfRule>
  </conditionalFormatting>
  <conditionalFormatting sqref="F22">
    <cfRule type="expression" dxfId="0" priority="21" stopIfTrue="1">
      <formula>F22&gt;$D$22</formula>
    </cfRule>
  </conditionalFormatting>
  <conditionalFormatting sqref="G22">
    <cfRule type="expression" dxfId="0" priority="45" stopIfTrue="1">
      <formula>G22&gt;$D$22</formula>
    </cfRule>
  </conditionalFormatting>
  <conditionalFormatting sqref="H22">
    <cfRule type="expression" dxfId="0" priority="69" stopIfTrue="1">
      <formula>H22&gt;$D$22</formula>
    </cfRule>
  </conditionalFormatting>
  <conditionalFormatting sqref="F23">
    <cfRule type="expression" dxfId="0" priority="22" stopIfTrue="1">
      <formula>F23&gt;$D$23</formula>
    </cfRule>
  </conditionalFormatting>
  <conditionalFormatting sqref="G23">
    <cfRule type="expression" dxfId="0" priority="46" stopIfTrue="1">
      <formula>G23&gt;$D$23</formula>
    </cfRule>
  </conditionalFormatting>
  <conditionalFormatting sqref="H23">
    <cfRule type="expression" dxfId="0" priority="70" stopIfTrue="1">
      <formula>H23&gt;$D$23</formula>
    </cfRule>
  </conditionalFormatting>
  <conditionalFormatting sqref="F24">
    <cfRule type="expression" dxfId="0" priority="23" stopIfTrue="1">
      <formula>F24&gt;$D$24</formula>
    </cfRule>
  </conditionalFormatting>
  <conditionalFormatting sqref="G24">
    <cfRule type="expression" dxfId="0" priority="47" stopIfTrue="1">
      <formula>G24&gt;$D$24</formula>
    </cfRule>
  </conditionalFormatting>
  <conditionalFormatting sqref="H24">
    <cfRule type="expression" dxfId="0" priority="71" stopIfTrue="1">
      <formula>H24&gt;$D$24</formula>
    </cfRule>
  </conditionalFormatting>
  <conditionalFormatting sqref="F25">
    <cfRule type="expression" dxfId="0" priority="24" stopIfTrue="1">
      <formula>F25&gt;$D$25</formula>
    </cfRule>
  </conditionalFormatting>
  <conditionalFormatting sqref="G25">
    <cfRule type="expression" dxfId="0" priority="48" stopIfTrue="1">
      <formula>G25&gt;$D$25</formula>
    </cfRule>
  </conditionalFormatting>
  <conditionalFormatting sqref="H25">
    <cfRule type="expression" dxfId="0" priority="72" stopIfTrue="1">
      <formula>H25&gt;$D$25</formula>
    </cfRule>
  </conditionalFormatting>
  <dataValidations count="24">
    <dataValidation type="decimal" operator="between" allowBlank="1" errorTitle="分值输入有误" error="请输入0到D2之间的分数，且不得超过本行分值。" sqref="F2:H2">
      <formula1>0</formula1>
      <formula2>$D$2</formula2>
    </dataValidation>
    <dataValidation type="decimal" operator="between" allowBlank="1" errorTitle="分值输入有误" error="请输入0到D3之间的分数，且不得超过本行分值。" sqref="F3:H3">
      <formula1>0</formula1>
      <formula2>$D$3</formula2>
    </dataValidation>
    <dataValidation type="decimal" operator="between" allowBlank="1" errorTitle="分值输入有误" error="请输入0到D4之间的分数，且不得超过本行分值。" sqref="F4:H4">
      <formula1>0</formula1>
      <formula2>$D$4</formula2>
    </dataValidation>
    <dataValidation type="decimal" operator="between" allowBlank="1" errorTitle="分值输入有误" error="请输入0到D5之间的分数，且不得超过本行分值。" sqref="F5:H5">
      <formula1>0</formula1>
      <formula2>$D$5</formula2>
    </dataValidation>
    <dataValidation type="decimal" operator="between" allowBlank="1" errorTitle="分值输入有误" error="请输入0到D6之间的分数，且不得超过本行分值。" sqref="F6:H6">
      <formula1>0</formula1>
      <formula2>$D$6</formula2>
    </dataValidation>
    <dataValidation type="decimal" operator="between" allowBlank="1" errorTitle="分值输入有误" error="请输入0到D7之间的分数，且不得超过本行分值。" sqref="F7:H7">
      <formula1>0</formula1>
      <formula2>$D$7</formula2>
    </dataValidation>
    <dataValidation type="decimal" operator="between" allowBlank="1" errorTitle="分值输入有误" error="请输入0到D8之间的分数，且不得超过本行分值。" sqref="F8:H8">
      <formula1>0</formula1>
      <formula2>$D$8</formula2>
    </dataValidation>
    <dataValidation type="decimal" operator="between" allowBlank="1" errorTitle="分值输入有误" error="请输入0到D9之间的分数，且不得超过本行分值。" sqref="F9:H9">
      <formula1>0</formula1>
      <formula2>$D$9</formula2>
    </dataValidation>
    <dataValidation type="decimal" operator="between" allowBlank="1" errorTitle="分值输入有误" error="请输入0到D10之间的分数，且不得超过本行分值。" sqref="F10:H10">
      <formula1>0</formula1>
      <formula2>$D$10</formula2>
    </dataValidation>
    <dataValidation type="decimal" operator="between" allowBlank="1" errorTitle="分值输入有误" error="请输入0到D11之间的分数，且不得超过本行分值。" sqref="F11:H11">
      <formula1>0</formula1>
      <formula2>$D$11</formula2>
    </dataValidation>
    <dataValidation type="decimal" operator="between" allowBlank="1" errorTitle="分值输入有误" error="请输入0到D12之间的分数，且不得超过本行分值。" sqref="F12:H12">
      <formula1>0</formula1>
      <formula2>$D$12</formula2>
    </dataValidation>
    <dataValidation type="decimal" operator="between" allowBlank="1" errorTitle="分值输入有误" error="请输入0到D13之间的分数，且不得超过本行分值。" sqref="F13:H13">
      <formula1>0</formula1>
      <formula2>$D$13</formula2>
    </dataValidation>
    <dataValidation type="decimal" operator="between" allowBlank="1" errorTitle="分值输入有误" error="请输入0到D14之间的分数，且不得超过本行分值。" sqref="F14:H14">
      <formula1>0</formula1>
      <formula2>$D$14</formula2>
    </dataValidation>
    <dataValidation type="decimal" operator="between" allowBlank="1" errorTitle="分值输入有误" error="请输入0到D15之间的分数，且不得超过本行分值。" sqref="F15:H15">
      <formula1>0</formula1>
      <formula2>$D$15</formula2>
    </dataValidation>
    <dataValidation type="decimal" operator="between" allowBlank="1" errorTitle="分值输入有误" error="请输入0到D16之间的分数，且不得超过本行分值。" sqref="F16:H16">
      <formula1>0</formula1>
      <formula2>$D$16</formula2>
    </dataValidation>
    <dataValidation type="decimal" operator="between" allowBlank="1" errorTitle="分值输入有误" error="请输入0到D17之间的分数，且不得超过本行分值。" sqref="F17:H17">
      <formula1>0</formula1>
      <formula2>$D$17</formula2>
    </dataValidation>
    <dataValidation type="decimal" operator="between" allowBlank="1" errorTitle="分值输入有误" error="请输入0到D18之间的分数，且不得超过本行分值。" sqref="F18:H18">
      <formula1>0</formula1>
      <formula2>$D$18</formula2>
    </dataValidation>
    <dataValidation type="decimal" operator="between" allowBlank="1" errorTitle="分值输入有误" error="请输入0到D19之间的分数，且不得超过本行分值。" sqref="F19:H19">
      <formula1>0</formula1>
      <formula2>$D$19</formula2>
    </dataValidation>
    <dataValidation type="decimal" operator="between" allowBlank="1" errorTitle="分值输入有误" error="请输入0到D20之间的分数，且不得超过本行分值。" sqref="F20:H20">
      <formula1>0</formula1>
      <formula2>$D$20</formula2>
    </dataValidation>
    <dataValidation type="decimal" operator="between" allowBlank="1" errorTitle="分值输入有误" error="请输入0到D21之间的分数，且不得超过本行分值。" sqref="F21:H21">
      <formula1>0</formula1>
      <formula2>$D$21</formula2>
    </dataValidation>
    <dataValidation type="decimal" operator="between" allowBlank="1" errorTitle="分值输入有误" error="请输入0到D22之间的分数，且不得超过本行分值。" sqref="F22:H22">
      <formula1>0</formula1>
      <formula2>$D$22</formula2>
    </dataValidation>
    <dataValidation type="decimal" operator="between" allowBlank="1" errorTitle="分值输入有误" error="请输入0到D23之间的分数，且不得超过本行分值。" sqref="F23:H23">
      <formula1>0</formula1>
      <formula2>$D$23</formula2>
    </dataValidation>
    <dataValidation type="decimal" operator="between" allowBlank="1" errorTitle="分值输入有误" error="请输入0到D24之间的分数，且不得超过本行分值。" sqref="F24:H24">
      <formula1>0</formula1>
      <formula2>$D$24</formula2>
    </dataValidation>
    <dataValidation type="decimal" operator="between" allowBlank="1" errorTitle="分值输入有误" error="请输入0到D25之间的分数，且不得超过本行分值。" sqref="F25:H25">
      <formula1>0</formula1>
      <formula2>$D$25</formula2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A1" sqref="A1"/>
    </sheetView>
  </sheetViews>
  <sheetFormatPr defaultColWidth="9" defaultRowHeight="14" outlineLevelCol="4"/>
  <cols>
    <col min="1" max="1" width="22" customWidth="1"/>
    <col min="2" max="4" width="16" customWidth="1"/>
    <col min="5" max="5" width="72" customWidth="1"/>
  </cols>
  <sheetData>
    <row r="1" spans="1:5">
      <c r="A1" s="1" t="s">
        <v>217</v>
      </c>
      <c r="B1" s="2" t="s">
        <v>13</v>
      </c>
      <c r="C1" s="2" t="s">
        <v>14</v>
      </c>
      <c r="D1" s="1" t="s">
        <v>15</v>
      </c>
      <c r="E1" s="2" t="s">
        <v>218</v>
      </c>
    </row>
    <row r="2" spans="1:5">
      <c r="A2" s="3" t="s">
        <v>219</v>
      </c>
      <c r="B2" s="4">
        <f>定制开发评分!F35</f>
        <v>30</v>
      </c>
      <c r="C2" s="4">
        <f>定制开发评分!G35</f>
        <v>25</v>
      </c>
      <c r="D2" s="3">
        <f>定制开发评分!H35</f>
        <v>27.2727272727273</v>
      </c>
      <c r="E2" s="4" t="s">
        <v>220</v>
      </c>
    </row>
    <row r="3" spans="1:5">
      <c r="A3" s="3" t="s">
        <v>221</v>
      </c>
      <c r="B3" s="4">
        <f>驻场运维评分!F27</f>
        <v>30</v>
      </c>
      <c r="C3" s="4">
        <f>驻场运维评分!G27</f>
        <v>25</v>
      </c>
      <c r="D3" s="3">
        <f>驻场运维评分!H27</f>
        <v>27.2727272727273</v>
      </c>
      <c r="E3" s="4" t="s">
        <v>222</v>
      </c>
    </row>
    <row r="4" spans="1:5">
      <c r="A4" s="3" t="s">
        <v>223</v>
      </c>
      <c r="B4" s="4">
        <v>50</v>
      </c>
      <c r="C4" s="4">
        <v>50</v>
      </c>
      <c r="D4" s="3">
        <v>50</v>
      </c>
      <c r="E4" s="4" t="s">
        <v>224</v>
      </c>
    </row>
    <row r="5" spans="1:5">
      <c r="A5" s="3" t="s">
        <v>225</v>
      </c>
      <c r="B5" s="4">
        <f>100-B4</f>
        <v>50</v>
      </c>
      <c r="C5" s="4">
        <f>100-C4</f>
        <v>50</v>
      </c>
      <c r="D5" s="3">
        <f>100-D4</f>
        <v>50</v>
      </c>
      <c r="E5" s="4" t="s">
        <v>226</v>
      </c>
    </row>
    <row r="6" ht="28" spans="1:5">
      <c r="A6" s="3" t="s">
        <v>227</v>
      </c>
      <c r="B6" s="4">
        <f>ROUND(B2*B4/100+B3*B5/100,2)</f>
        <v>30</v>
      </c>
      <c r="C6" s="4">
        <f>ROUND(C2*C4/100+C3*C5/100,2)</f>
        <v>25</v>
      </c>
      <c r="D6" s="3">
        <f>ROUND(D2*D4/100+D3*D5/100,2)</f>
        <v>27.27</v>
      </c>
      <c r="E6" s="4" t="s">
        <v>228</v>
      </c>
    </row>
    <row r="7" ht="28" spans="1:5">
      <c r="A7" s="3" t="s">
        <v>229</v>
      </c>
      <c r="B7" s="4" t="s">
        <v>230</v>
      </c>
      <c r="C7" s="4" t="s">
        <v>230</v>
      </c>
      <c r="D7" s="3" t="s">
        <v>230</v>
      </c>
      <c r="E7" s="4" t="s">
        <v>231</v>
      </c>
    </row>
    <row r="8" ht="28" spans="1:5">
      <c r="A8" s="3" t="s">
        <v>232</v>
      </c>
      <c r="B8" s="4">
        <f>IF(B7="资格审查通过",RANK(B6,$B$6:$D$6,0),"")</f>
        <v>1</v>
      </c>
      <c r="C8" s="4">
        <f>IF(C7="资格审查通过",RANK(C6,$B$6:$D$6,0),"")</f>
        <v>3</v>
      </c>
      <c r="D8" s="3">
        <f>IF(D7="资格审查通过",RANK(D6,$B$6:$D$6,0),"")</f>
        <v>2</v>
      </c>
      <c r="E8" s="4" t="s">
        <v>233</v>
      </c>
    </row>
    <row r="9" spans="1:5">
      <c r="A9" s="3" t="s">
        <v>234</v>
      </c>
      <c r="B9" s="4">
        <f>IF(B7="资格审查通过",RANK(B2,$B$2:$D$2,0),"")</f>
        <v>1</v>
      </c>
      <c r="C9" s="4">
        <f>IF(C7="资格审查通过",RANK(C2,$B$2:$D$2,0),"")</f>
        <v>3</v>
      </c>
      <c r="D9" s="3">
        <f>IF(D7="资格审查通过",RANK(D2,$B$2:$D$2,0),"")</f>
        <v>2</v>
      </c>
      <c r="E9" s="4" t="s">
        <v>235</v>
      </c>
    </row>
    <row r="10" spans="1:5">
      <c r="A10" s="3" t="s">
        <v>236</v>
      </c>
      <c r="B10" s="4">
        <f>IF(B7="资格审查通过",RANK(B3,$B$3:$D$3,0),"")</f>
        <v>1</v>
      </c>
      <c r="C10" s="4">
        <f>IF(C7="资格审查通过",RANK(C3,$B$3:$D$3,0),"")</f>
        <v>3</v>
      </c>
      <c r="D10" s="3">
        <f>IF(D7="资格审查通过",RANK(D3,$B$3:$D$3,0),"")</f>
        <v>2</v>
      </c>
      <c r="E10" s="4" t="s">
        <v>237</v>
      </c>
    </row>
    <row r="12" spans="1:5">
      <c r="A12" s="5" t="s">
        <v>238</v>
      </c>
    </row>
    <row r="13" spans="1:5">
      <c r="A13" t="s">
        <v>239</v>
      </c>
    </row>
    <row r="14" spans="1:5">
      <c r="A14" t="s">
        <v>240</v>
      </c>
    </row>
    <row r="15" spans="1:5">
      <c r="A15" t="s">
        <v>241</v>
      </c>
    </row>
    <row r="16" spans="1:5">
      <c r="A16" t="s">
        <v>242</v>
      </c>
    </row>
    <row r="17" spans="1:1">
      <c r="A17" t="s">
        <v>243</v>
      </c>
    </row>
    <row r="18" spans="1:1">
      <c r="A18" t="s">
        <v>244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说明</vt:lpstr>
      <vt:lpstr>资格审查</vt:lpstr>
      <vt:lpstr>定制开发评分</vt:lpstr>
      <vt:lpstr>驻场运维评分</vt:lpstr>
      <vt:lpstr>汇总排名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不要说话</cp:lastModifiedBy>
  <dcterms:created xsi:type="dcterms:W3CDTF">2026-04-20T06:00:00Z</dcterms:created>
  <dcterms:modified xsi:type="dcterms:W3CDTF">2026-04-20T06:25:44Z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2A52EFBBEF6B45F09A1BA246E2948812_12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