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2"/>
  </bookViews>
  <sheets>
    <sheet name="说明" sheetId="1" r:id="rId1"/>
    <sheet name="资格审查" sheetId="2" r:id="rId2"/>
    <sheet name="定制开发评分" sheetId="3" r:id="rId3"/>
    <sheet name="驻场运维评分" sheetId="4" r:id="rId4"/>
    <sheet name="统一报价评分" sheetId="5" r:id="rId5"/>
    <sheet name="汇总排名" sheetId="6" r:id="rId6"/>
  </sheets>
  <definedNames>
    <definedName name="_xlnm.Print_Titles" localSheetId="2">定制开发评分!$1:$4</definedName>
    <definedName name="_xlnm.Print_Titles" localSheetId="4">统一报价评分!$1:$4</definedName>
    <definedName name="_xlnm.Print_Titles" localSheetId="3">驻场运维评分!$1:$4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J3" authorId="0">
      <text>
        <r>
          <rPr>
            <sz val="11"/>
            <color rgb="FF000000"/>
            <rFont val="宋体"/>
            <scheme val="minor"/>
            <charset val="0"/>
          </rPr>
          <t>请输入供应商A针对本项目整包的有效报价。</t>
        </r>
      </text>
    </comment>
    <comment ref="K3" authorId="0">
      <text>
        <r>
          <rPr>
            <sz val="11"/>
            <color rgb="FF000000"/>
            <rFont val="宋体"/>
            <scheme val="minor"/>
            <charset val="0"/>
          </rPr>
          <t>请输入供应商B针对本项目整包的有效报价。</t>
        </r>
      </text>
    </comment>
    <comment ref="L3" authorId="0">
      <text>
        <r>
          <rPr>
            <sz val="11"/>
            <color rgb="FF000000"/>
            <rFont val="宋体"/>
            <scheme val="minor"/>
            <charset val="0"/>
          </rPr>
          <t>请输入供应商C针对本项目整包的有效报价。</t>
        </r>
      </text>
    </comment>
  </commentList>
</comments>
</file>

<file path=xl/sharedStrings.xml><?xml version="1.0" encoding="utf-8"?>
<sst xmlns="http://schemas.openxmlformats.org/spreadsheetml/2006/main" count="256" uniqueCount="232">
  <si>
    <t>软件项目供应商评审评分表（最终版）</t>
  </si>
  <si>
    <t>项目</t>
  </si>
  <si>
    <t>内容</t>
  </si>
  <si>
    <t>适用场景</t>
  </si>
  <si>
    <t>适用于软件定制开发、研发服务、驻场运维、系统集成配套开发等供应商比选或询比场景。</t>
  </si>
  <si>
    <t>编制原则</t>
  </si>
  <si>
    <t>以资格性审查先行、定制开发/驻场运维/统一报价三张评分页分别独立评分、汇总页统一加权为原则编制。</t>
  </si>
  <si>
    <t>资格规则</t>
  </si>
  <si>
    <t>资格审查任一强制性条款判定“不通过”，该供应商不进入详细评分和排名。</t>
  </si>
  <si>
    <t>权重规则</t>
  </si>
  <si>
    <t>同一项目必须对全部供应商采用统一权重，不得因供应商不同而分别设置权重。</t>
  </si>
  <si>
    <t>价格规则</t>
  </si>
  <si>
    <t>默认采用常见的最低有效报价比例法：最低有效报价/本供应商有效报价×价格分值。</t>
  </si>
  <si>
    <t>使用建议</t>
  </si>
  <si>
    <t>定制开发评分、驻场运维评分、统一报价评分三页各自满分 100 分；在“汇总排名”页设置三项权重后自动汇总为综合评审得分。</t>
  </si>
  <si>
    <t>使用步骤</t>
  </si>
  <si>
    <t>1. 在“资格审查”页填报各供应商资格结论，蓝色单元格可编辑。</t>
  </si>
  <si>
    <t>2. 在“定制开发评分”和“驻场运维评分”页分别录入原始分；每页细项分值合计均为 100 分。</t>
  </si>
  <si>
    <t>3. 在“统一报价评分”页录入各供应商针对本项目整包的有效报价；本页满分 100 分。</t>
  </si>
  <si>
    <t>4. 在“汇总排名”页统一设置定制开发、驻场运维、统一报价三项权重，三项权重合计应为 100%。</t>
  </si>
  <si>
    <t>5. 如采购文件另有专门价格评审办法、专门资格条件或评分细则，应在发文前按项目文件统一调整，不得在评审中临时改动。</t>
  </si>
  <si>
    <t>推荐权重示例</t>
  </si>
  <si>
    <t>定制开发权重</t>
  </si>
  <si>
    <t>驻场运维权重</t>
  </si>
  <si>
    <t>统一报价权重</t>
  </si>
  <si>
    <t>权重合计</t>
  </si>
  <si>
    <t>适用说明</t>
  </si>
  <si>
    <t>纯定制开发项目</t>
  </si>
  <si>
    <t>适用于以需求调研、设计开发、测试上线为主的项目。</t>
  </si>
  <si>
    <t>纯驻场运维项目</t>
  </si>
  <si>
    <t>适用于以驻场支持、故障处理、持续服务为主的项目。</t>
  </si>
  <si>
    <t>综合服务项目</t>
  </si>
  <si>
    <t>适用于开发建设与驻场保障同时存在的项目。</t>
  </si>
  <si>
    <t>建议取证材料</t>
  </si>
  <si>
    <t>- 营业执照、税务开票能力证明、信用承诺或信用查询结果。</t>
  </si>
  <si>
    <t>- 同类项目合同关键页、验收单、发票或回款证明等业绩支撑材料。</t>
  </si>
  <si>
    <t>- 项目经理及核心成员简历、社保或劳动关系证明、岗位分工表。</t>
  </si>
  <si>
    <t>- 总体技术方案、实施计划、WBS/里程碑、风险控制方案、服务承诺书。</t>
  </si>
  <si>
    <t>- 体系认证、软件著作权、行业资质、保密/安全承诺等证明材料。</t>
  </si>
  <si>
    <t>资格性及符合性审查表</t>
  </si>
  <si>
    <t>说明：任一强制性条款判定“不通过”，该供应商不得进入详细评分；“待确认”仅用于评审前补证核验，不得用于已终结评审。</t>
  </si>
  <si>
    <t>序号</t>
  </si>
  <si>
    <t>资格审查项</t>
  </si>
  <si>
    <t>审查要求/判定标准</t>
  </si>
  <si>
    <t>供应商A</t>
  </si>
  <si>
    <t>供应商B</t>
  </si>
  <si>
    <t>供应商C</t>
  </si>
  <si>
    <t>主体资格</t>
  </si>
  <si>
    <t>依法设立并有效存续，提供营业执照或同等主体资格证明。</t>
  </si>
  <si>
    <t>通过</t>
  </si>
  <si>
    <t>开票能力</t>
  </si>
  <si>
    <t>能够开具合法合规发票，并满足采购文件约定的税务要求。</t>
  </si>
  <si>
    <t>信誉要求</t>
  </si>
  <si>
    <t>近三年无重大违法失信记录、无重大质量安全事故、无严重违约情形。</t>
  </si>
  <si>
    <t>技术与服务能力</t>
  </si>
  <si>
    <t>具备承担本项目所需的技术、工具、方法、管理和服务能力。</t>
  </si>
  <si>
    <t>最低团队要求</t>
  </si>
  <si>
    <t>满足采购文件规定的最低人员配置、驻场安排或响应时效要求。</t>
  </si>
  <si>
    <t>业绩及授权要求</t>
  </si>
  <si>
    <t>按采购文件要求提供同类业绩；如涉及代理、原厂授权或联合体要求，应提供有效授权/承诺。</t>
  </si>
  <si>
    <t>商务条款响应</t>
  </si>
  <si>
    <t>接受主要合同条款，包括交付、验收、付款、保密、知识产权、违约责任等。</t>
  </si>
  <si>
    <t>安全与保密</t>
  </si>
  <si>
    <t>满足网络安全、数据安全、保密及现场管理等强制性要求。</t>
  </si>
  <si>
    <t>材料真实性</t>
  </si>
  <si>
    <t>提交的资质、业绩、简历、承诺等材料真实、完整、可核验。</t>
  </si>
  <si>
    <t>其他专门条件</t>
  </si>
  <si>
    <t>满足采购文件另行约定的专门资格条件或实质性响应要求。</t>
  </si>
  <si>
    <t>审查结论</t>
  </si>
  <si>
    <t>任一项不通过则结论为不通过；存在待确认或空白则结论为待确认；其余视为通过。</t>
  </si>
  <si>
    <t>定制开发评分</t>
  </si>
  <si>
    <t>适用于以需求调研、系统设计、开发测试、上线交付为主的软件项目。本页技术商务细项采用整数分值分配，页内满分 100 分。</t>
  </si>
  <si>
    <t>填写规则：仅录入蓝色单元格；专家原始分不得超过 C 列分值；本页仅统计技术商务分，不含统一报价得分。</t>
  </si>
  <si>
    <t>评审大项</t>
  </si>
  <si>
    <t>评审子项</t>
  </si>
  <si>
    <t>分值</t>
  </si>
  <si>
    <t>评分标准</t>
  </si>
  <si>
    <t>评分依据/证明材料</t>
  </si>
  <si>
    <t>诚迈科技原始分</t>
  </si>
  <si>
    <t>晶石科技原始分</t>
  </si>
  <si>
    <t>亿顺弘原始分</t>
  </si>
  <si>
    <t>备注</t>
  </si>
  <si>
    <t>项目理解与需求分析</t>
  </si>
  <si>
    <t>需求理解准确性</t>
  </si>
  <si>
    <t>对项目背景、建设目标、核心需求理解准确，问题识别到位，得 7 分；理解较为准确但分析深度一般，得 4-6 分；理解偏差明显或内容空泛，得 0-3 分。</t>
  </si>
  <si>
    <t>需求响应、现状分析、问题清单、项目目标说明。</t>
  </si>
  <si>
    <t>业务场景与目标匹配度</t>
  </si>
  <si>
    <t>能够结合采购场景提出针对性理解和目标拆解，得 5 分；匹配度一般，得 3-4 分；针对性不足，得 0-2 分。</t>
  </si>
  <si>
    <t>业务场景分析、用户画像、流程梳理成果。</t>
  </si>
  <si>
    <t>范围边界与关键难点识别</t>
  </si>
  <si>
    <t>对项目边界、接口边界和关键难点识别完整，得 5 分；识别基本到位，得 3-4 分；识别不足，得 0-2 分。</t>
  </si>
  <si>
    <t>边界清单、关键风险点、约束条件说明。</t>
  </si>
  <si>
    <t>技术方案与架构设计</t>
  </si>
  <si>
    <t>总体架构与技术路线合理性</t>
  </si>
  <si>
    <t>总体架构完整、技术路线成熟可行、与项目目标高度匹配，得 8 分；较为合理，得 4-7 分；合理性较弱，得 0-3 分。</t>
  </si>
  <si>
    <t>总体架构图、技术选型说明、部署方案。</t>
  </si>
  <si>
    <t>功能方案完整性</t>
  </si>
  <si>
    <t>功能设计覆盖主要需求并体现关键场景，得 7 分；覆盖较完整，得 4-6 分；缺项明显，得 0-3 分。</t>
  </si>
  <si>
    <t>功能清单、原型图、模块设计说明。</t>
  </si>
  <si>
    <t>接口、数据与安全设计</t>
  </si>
  <si>
    <t>接口衔接、数据流向、安全控制设计清楚，得 5 分；基本具备，得 3-4 分；说明不足，得 0-2 分。</t>
  </si>
  <si>
    <t>接口清单、数据模型、安全方案。</t>
  </si>
  <si>
    <t>可扩展性与可实施性</t>
  </si>
  <si>
    <t>方案具备扩展性、兼容性和可实施路径，得 5 分；一般，得 3-4 分；可实施性弱，得 0-2 分。</t>
  </si>
  <si>
    <t>实施路径、环境适配说明、扩展设计。</t>
  </si>
  <si>
    <t>实施计划与项目管理</t>
  </si>
  <si>
    <t>实施计划与里程碑设置</t>
  </si>
  <si>
    <t>阶段划分、里程碑、关键交付节点清晰可执行，得 7 分；较清晰，得 4-6 分；安排粗略，得 0-3 分。</t>
  </si>
  <si>
    <t>WBS、里程碑计划、甘特图。</t>
  </si>
  <si>
    <t>风险控制与质量保证</t>
  </si>
  <si>
    <t>具备完整的风险识别、预警、应对和质量控制机制，得 5 分；机制基本可行，得 3-4 分；机制缺失，得 0-2 分。</t>
  </si>
  <si>
    <t>风险台账、测试策略、质量控制流程。</t>
  </si>
  <si>
    <t>交付物定义与验收安排</t>
  </si>
  <si>
    <t>交付物清单、输出形式、验收方式明确，得 5 分；基本明确，得 3-4 分；不明确，得 0-2 分。</t>
  </si>
  <si>
    <t>交付物清单、验收计划、文档目录。</t>
  </si>
  <si>
    <t>团队配置与履约能力</t>
  </si>
  <si>
    <t>项目经理与核心骨干匹配度</t>
  </si>
  <si>
    <t>项目经理及核心成员经验丰富、履历与项目高度匹配，得 7 分；基本匹配，得 4-6 分；匹配度较低，得 0-3 分。</t>
  </si>
  <si>
    <t>人员简历、项目经历、证书、社保证明。</t>
  </si>
  <si>
    <t>岗位配置完整性</t>
  </si>
  <si>
    <t>产品、设计、开发、测试、实施等关键岗位配置齐全且职责清晰，得 5 分；基本齐备，得 3-4 分；明显缺失，得 0-2 分。</t>
  </si>
  <si>
    <t>组织架构图、岗位分工、人员清单。</t>
  </si>
  <si>
    <t>驻场/协同与资源保障能力</t>
  </si>
  <si>
    <t>驻场计划、协同机制、替补资源保障合理，得 5 分；一般，得 3-4 分；保障不足，得 0-2 分。</t>
  </si>
  <si>
    <t>驻场计划、协同机制、替补安排。</t>
  </si>
  <si>
    <t>同类业绩与资质能力</t>
  </si>
  <si>
    <t>同类案例数量与相关性</t>
  </si>
  <si>
    <t>同类案例数量充足、与本项目行业和复杂度高度相关，得 8 分；相关性一般，得 4-7 分；较弱，得 0-3 分。</t>
  </si>
  <si>
    <t>合同关键页、验收证明、发票或回款证明。</t>
  </si>
  <si>
    <t>业绩证明完整性</t>
  </si>
  <si>
    <t>案例证明材料齐全、可核验，得 3 分；部分缺失，得 2 分；证明不足，得 0-1 分。</t>
  </si>
  <si>
    <t>合同、验收、佐证清单。</t>
  </si>
  <si>
    <t>专业资质与质量体系</t>
  </si>
  <si>
    <t>具备与项目匹配的体系认证或专业资质，且有效性明确，得 5 分；资质较少或匹配度一般，得 3-4 分；无有效资质，得 0-2 分。</t>
  </si>
  <si>
    <t>ISO、CMMI、软件企业能力或行业资质证明。</t>
  </si>
  <si>
    <t>服务承诺与文件质量</t>
  </si>
  <si>
    <t>售后服务、响应与质保承诺</t>
  </si>
  <si>
    <t>售后机制、响应时效、质保范围和服务边界明确，得 5 分；一般，得 3-4 分；承诺不明确，得 0-2 分。</t>
  </si>
  <si>
    <t>售后服务方案、承诺函、SLA。</t>
  </si>
  <si>
    <t>响应文件完整性与规范性</t>
  </si>
  <si>
    <t>文件结构清楚、内容完整、查阅方便、格式规范，得 3 分；一般，得 2 分；较差，得 0-1 分。</t>
  </si>
  <si>
    <t>响应文件目录、排版、盖章签字情况。</t>
  </si>
  <si>
    <t>技术商务小计</t>
  </si>
  <si>
    <t>本行自动汇总本页技术商务得分，不含统一报价得分。</t>
  </si>
  <si>
    <t>驻场运维评分</t>
  </si>
  <si>
    <t>适用于以驻场研发、运维支持、持续服务和响应保障为主的项目。本页技术商务细项采用整数分值分配，页内满分 100 分。</t>
  </si>
  <si>
    <t>服务理解与方案设计</t>
  </si>
  <si>
    <t>服务范围与边界理解</t>
  </si>
  <si>
    <t>对服务范围、职责边界、支持边界理解准确，得 7 分；基本准确，得 4-6 分；理解偏差明显，得 0-3 分。</t>
  </si>
  <si>
    <t>服务方案、范围说明、职责分工。</t>
  </si>
  <si>
    <t>服务流程与报告机制</t>
  </si>
  <si>
    <t>服务流程、工单流转、例会与报告机制完整，得 5 分；基本具备，得 3-4 分；机制不足，得 0-2 分。</t>
  </si>
  <si>
    <t>服务流程图、报告模板、例会机制。</t>
  </si>
  <si>
    <t>服务方案可执行性</t>
  </si>
  <si>
    <t>方案执行路径清晰、适配采购场景，得 5 分；一般，得 3-4 分；可执行性弱，得 0-2 分。</t>
  </si>
  <si>
    <t>实施路径、现场协同方案。</t>
  </si>
  <si>
    <t>驻场与响应保障</t>
  </si>
  <si>
    <t>驻场人员数量与岗位结构</t>
  </si>
  <si>
    <t>驻场人员数量充分、岗位结构合理、关键岗位齐备，得 10 分；基本满足，得 5-9 分；明显不足，得 0-4 分。</t>
  </si>
  <si>
    <t>驻场清单、岗位说明、资源投入计划。</t>
  </si>
  <si>
    <t>人员稳定性与替补机制</t>
  </si>
  <si>
    <t>稳定性保障和替补机制明确，得 7 分；较为明确，得 4-6 分；安排不足，得 0-3 分。</t>
  </si>
  <si>
    <t>替补名单、稳定性承诺、人员管理机制。</t>
  </si>
  <si>
    <t>响应时效与故障升级机制</t>
  </si>
  <si>
    <t>响应时效、升级路径、闭环机制明确且优于基本要求，得 10 分；基本满足，得 5-9 分；较弱，得 0-4 分。</t>
  </si>
  <si>
    <t>SLA、升级流程、值守安排。</t>
  </si>
  <si>
    <t>应急保障与重大问题处置能力</t>
  </si>
  <si>
    <t>应急预案、重大故障处置、专项支撑能力强，得 7 分；一般，得 4-6 分；较弱，得 0-3 分。</t>
  </si>
  <si>
    <t>应急预案、值班机制、历史案例说明。</t>
  </si>
  <si>
    <t>持续服务与知识交接</t>
  </si>
  <si>
    <t>知识库、文档与培训交接安排</t>
  </si>
  <si>
    <t>知识沉淀、文档维护、培训交接安排完整，得 8 分；较完整，得 4-7 分；较弱，得 0-3 分。</t>
  </si>
  <si>
    <t>知识库目录、交接计划、培训方案。</t>
  </si>
  <si>
    <t>持续优化与例会复盘机制</t>
  </si>
  <si>
    <t>具备持续优化、例会复盘、改进闭环机制，得 8 分；一般，得 4-7 分；机制不足，得 0-3 分。</t>
  </si>
  <si>
    <t>复盘模板、改进机制、周/月报样例。</t>
  </si>
  <si>
    <t>同类经验与资质能力</t>
  </si>
  <si>
    <t>同类服务案例数量与相关性</t>
  </si>
  <si>
    <t>同类服务案例丰富且相关性高，得 10 分；一般，得 5-9 分；较弱，得 0-4 分。</t>
  </si>
  <si>
    <t>服务合同、验收证明、用户评价或成果材料。</t>
  </si>
  <si>
    <t>资质与服务管理体系</t>
  </si>
  <si>
    <t>具备与服务管理相关的体系认证或有效资质，得 7 分；一般，得 4-6 分；无有效资质，得 0-3 分。</t>
  </si>
  <si>
    <t>ISO20000、ISO27001、质量体系等。</t>
  </si>
  <si>
    <t>商务响应与文件质量</t>
  </si>
  <si>
    <t>商务承诺与违约响应机制</t>
  </si>
  <si>
    <t>商务承诺明确、违约处理和资源补偿机制清晰，得 7 分；一般，得 4-6 分；较弱，得 0-3 分。</t>
  </si>
  <si>
    <t>商务承诺函、违约处理条款响应。</t>
  </si>
  <si>
    <t>文件完整性与规范性</t>
  </si>
  <si>
    <t>文件完整、结构清晰、排版规范、检索方便，得 9 分；一般，得 5-8 分；较弱，得 0-4 分。</t>
  </si>
  <si>
    <t>响应文件目录、盖章签字、版本控制。</t>
  </si>
  <si>
    <t>统一报价评分</t>
  </si>
  <si>
    <t>适用于本项目整包统一报价评分。供应商仅填写一份针对本次项目完整范围的有效报价；本页默认满分 100 分。</t>
  </si>
  <si>
    <t>诚迈科技有效报价</t>
  </si>
  <si>
    <t>晶石科技有效报价</t>
  </si>
  <si>
    <t>亿顺弘有效报价</t>
  </si>
  <si>
    <t>填写规则：仅录入蓝色单元格；报价应为本项目整包统一有效报价，不再区分定制开发和驻场运维分别报价。</t>
  </si>
  <si>
    <t>诚迈科技得分</t>
  </si>
  <si>
    <t>晶石科技得分</t>
  </si>
  <si>
    <t>亿顺弘得分</t>
  </si>
  <si>
    <t>价格评分</t>
  </si>
  <si>
    <t>统一报价得分</t>
  </si>
  <si>
    <t>价格部分采用最低有效报价比例法，最低有效报价得满分 100 分，其他供应商按“最低有效报价/本供应商有效报价×100”折算。</t>
  </si>
  <si>
    <t>有效报价表、澄清函、报价一览表等。</t>
  </si>
  <si>
    <t>合计</t>
  </si>
  <si>
    <t>本页满分 100 分。</t>
  </si>
  <si>
    <t>综合评审汇总及排名</t>
  </si>
  <si>
    <t>项目统一权重设置</t>
  </si>
  <si>
    <t>数值</t>
  </si>
  <si>
    <t>说明</t>
  </si>
  <si>
    <t>定制开发权重（%）</t>
  </si>
  <si>
    <t>驻场运维权重（%）</t>
  </si>
  <si>
    <t>统一报价权重（%）</t>
  </si>
  <si>
    <t>权重合计（%）</t>
  </si>
  <si>
    <t>权重使用规则</t>
  </si>
  <si>
    <t>指标</t>
  </si>
  <si>
    <t>资格审查结论</t>
  </si>
  <si>
    <t>仅资格审查“通过”的供应商参与排序。</t>
  </si>
  <si>
    <t>定制开发总分</t>
  </si>
  <si>
    <t>引用“定制开发评分”页技术商务小计，满分 100 分。</t>
  </si>
  <si>
    <t>驻场运维总分</t>
  </si>
  <si>
    <t>引用“驻场运维评分”页技术商务小计，满分 100 分。</t>
  </si>
  <si>
    <t>统一报价总分</t>
  </si>
  <si>
    <t>引用“统一报价评分”页合计分，满分 100 分。</t>
  </si>
  <si>
    <t>综合评审得分</t>
  </si>
  <si>
    <t>综合得分=定制开发总分×定制开发权重+驻场运维总分×驻场运维权重+统一报价总分×统一报价权重。</t>
  </si>
  <si>
    <t>综合排名</t>
  </si>
  <si>
    <t>按综合得分由高到低排名，分值相同则并列。</t>
  </si>
  <si>
    <t>补充说明</t>
  </si>
  <si>
    <t>1. 如项目只适用一种评分页，可将其他评分页权重设置为 0。</t>
  </si>
  <si>
    <t>2. 请确保 B4:B6 三项权重合计为 100；B7 为自动校验值。</t>
  </si>
  <si>
    <t>3. 如采购文件采用基准价法或其他价格评审办法，应在“统一报价评分”页统一替换价格公式。</t>
  </si>
  <si>
    <t>4. 本模板为通用正式版，项目特有的资质门槛、涉密要求、原厂授权要求应根据采购文件另行补充。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</si>
</sst>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0"/>
      <color rgb="FFFFFFFF"/>
      <name val="宋体"/>
      <charset val="134"/>
    </font>
    <font>
      <b/>
      <sz val="11"/>
      <name val="宋体"/>
      <charset val="134"/>
    </font>
    <font>
      <sz val="10"/>
      <color rgb="FF0000FF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" applyNumberFormat="0" applyAlignment="0" applyProtection="0">
      <alignment vertical="center"/>
    </xf>
    <xf numFmtId="0" fontId="17" fillId="10" borderId="16" applyNumberFormat="0" applyAlignment="0" applyProtection="0">
      <alignment vertical="center"/>
    </xf>
    <xf numFmtId="0" fontId="18" fillId="10" borderId="1" applyNumberFormat="0" applyAlignment="0" applyProtection="0">
      <alignment vertical="center"/>
    </xf>
    <xf numFmtId="0" fontId="19" fillId="11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4" fillId="5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5" fillId="6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0" fillId="0" borderId="6" xfId="0" applyBorder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2" fontId="5" fillId="6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6" fillId="5" borderId="1" xfId="0" applyFont="1" applyFill="1" applyBorder="1" applyAlignment="1">
      <alignment horizontal="left" vertical="top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0" fillId="4" borderId="1" xfId="0" applyFill="1" applyBorder="1"/>
    <xf numFmtId="0" fontId="0" fillId="0" borderId="1" xfId="0" applyBorder="1"/>
    <xf numFmtId="0" fontId="6" fillId="0" borderId="12" xfId="0" applyFont="1" applyBorder="1" applyAlignment="1">
      <alignment horizontal="left" vertical="top" wrapText="1"/>
    </xf>
    <xf numFmtId="0" fontId="0" fillId="0" borderId="12" xfId="0" applyBorder="1"/>
    <xf numFmtId="0" fontId="6" fillId="0" borderId="6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left" vertical="top" wrapText="1"/>
    </xf>
    <xf numFmtId="1" fontId="5" fillId="6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showGridLines="0" zoomScale="145" zoomScaleNormal="145" workbookViewId="0">
      <pane ySplit="2" topLeftCell="A3" activePane="bottomLeft" state="frozen"/>
      <selection/>
      <selection pane="bottomLeft" activeCell="J20" sqref="J20"/>
    </sheetView>
  </sheetViews>
  <sheetFormatPr defaultColWidth="9" defaultRowHeight="14" outlineLevelCol="7"/>
  <cols>
    <col min="1" max="1" width="18" customWidth="1"/>
    <col min="2" max="4" width="14" customWidth="1"/>
    <col min="5" max="5" width="12" customWidth="1"/>
    <col min="6" max="6" width="20" customWidth="1"/>
    <col min="7" max="8" width="14" customWidth="1"/>
  </cols>
  <sheetData>
    <row r="1" ht="24" customHeight="1" spans="1:8">
      <c r="A1" s="1" t="s">
        <v>0</v>
      </c>
    </row>
    <row r="3" spans="1:8">
      <c r="A3" s="2" t="s">
        <v>1</v>
      </c>
      <c r="B3" s="2" t="s">
        <v>2</v>
      </c>
      <c r="C3" s="21"/>
      <c r="D3" s="21"/>
      <c r="E3" s="21"/>
      <c r="F3" s="21"/>
      <c r="G3" s="21"/>
      <c r="H3" s="22"/>
    </row>
    <row r="4" spans="1:8">
      <c r="A4" s="7" t="s">
        <v>3</v>
      </c>
      <c r="B4" s="17" t="s">
        <v>4</v>
      </c>
      <c r="C4" s="34"/>
      <c r="D4" s="34"/>
      <c r="E4" s="34"/>
      <c r="F4" s="34"/>
      <c r="G4" s="34"/>
      <c r="H4" s="34"/>
    </row>
    <row r="5" spans="1:8">
      <c r="A5" s="7" t="s">
        <v>5</v>
      </c>
      <c r="B5" s="17" t="s">
        <v>6</v>
      </c>
      <c r="C5" s="34"/>
      <c r="D5" s="34"/>
      <c r="E5" s="34"/>
      <c r="F5" s="34"/>
      <c r="G5" s="34"/>
      <c r="H5" s="34"/>
    </row>
    <row r="6" spans="1:8">
      <c r="A6" s="7" t="s">
        <v>7</v>
      </c>
      <c r="B6" s="17" t="s">
        <v>8</v>
      </c>
      <c r="C6" s="34"/>
      <c r="D6" s="34"/>
      <c r="E6" s="34"/>
      <c r="F6" s="34"/>
      <c r="G6" s="34"/>
      <c r="H6" s="34"/>
    </row>
    <row r="7" spans="1:8">
      <c r="A7" s="7" t="s">
        <v>9</v>
      </c>
      <c r="B7" s="17" t="s">
        <v>10</v>
      </c>
      <c r="C7" s="34"/>
      <c r="D7" s="34"/>
      <c r="E7" s="34"/>
      <c r="F7" s="34"/>
      <c r="G7" s="34"/>
      <c r="H7" s="34"/>
    </row>
    <row r="8" spans="1:8">
      <c r="A8" s="7" t="s">
        <v>11</v>
      </c>
      <c r="B8" s="17" t="s">
        <v>12</v>
      </c>
      <c r="C8" s="34"/>
      <c r="D8" s="34"/>
      <c r="E8" s="34"/>
      <c r="F8" s="34"/>
      <c r="G8" s="34"/>
      <c r="H8" s="34"/>
    </row>
    <row r="9" spans="1:8">
      <c r="A9" s="7" t="s">
        <v>13</v>
      </c>
      <c r="B9" s="17" t="s">
        <v>14</v>
      </c>
      <c r="C9" s="34"/>
      <c r="D9" s="34"/>
      <c r="E9" s="34"/>
      <c r="F9" s="34"/>
      <c r="G9" s="34"/>
      <c r="H9" s="34"/>
    </row>
    <row r="11" spans="1:8">
      <c r="A11" s="2" t="s">
        <v>15</v>
      </c>
      <c r="B11" s="21"/>
      <c r="C11" s="21"/>
      <c r="D11" s="21"/>
      <c r="E11" s="21"/>
      <c r="F11" s="21"/>
      <c r="G11" s="21"/>
      <c r="H11" s="22"/>
    </row>
    <row r="12" spans="1:8">
      <c r="A12" s="35" t="s">
        <v>16</v>
      </c>
      <c r="B12" s="36"/>
      <c r="C12" s="36"/>
      <c r="D12" s="36"/>
      <c r="E12" s="36"/>
      <c r="F12" s="36"/>
      <c r="G12" s="36"/>
      <c r="H12" s="36"/>
    </row>
    <row r="13" spans="1:8">
      <c r="A13" s="37" t="s">
        <v>17</v>
      </c>
      <c r="B13" s="14"/>
      <c r="C13" s="14"/>
      <c r="D13" s="14"/>
      <c r="E13" s="14"/>
      <c r="F13" s="14"/>
      <c r="G13" s="14"/>
      <c r="H13" s="14"/>
    </row>
    <row r="14" spans="1:8">
      <c r="A14" s="37" t="s">
        <v>18</v>
      </c>
      <c r="B14" s="14"/>
      <c r="C14" s="14"/>
      <c r="D14" s="14"/>
      <c r="E14" s="14"/>
      <c r="F14" s="14"/>
      <c r="G14" s="14"/>
      <c r="H14" s="14"/>
    </row>
    <row r="15" spans="1:8">
      <c r="A15" s="37" t="s">
        <v>19</v>
      </c>
      <c r="B15" s="14"/>
      <c r="C15" s="14"/>
      <c r="D15" s="14"/>
      <c r="E15" s="14"/>
      <c r="F15" s="14"/>
      <c r="G15" s="14"/>
      <c r="H15" s="14"/>
    </row>
    <row r="16" spans="1:8">
      <c r="A16" s="37" t="s">
        <v>20</v>
      </c>
      <c r="B16" s="14"/>
      <c r="C16" s="14"/>
      <c r="D16" s="14"/>
      <c r="E16" s="14"/>
      <c r="F16" s="14"/>
      <c r="G16" s="14"/>
      <c r="H16" s="14"/>
    </row>
    <row r="19" spans="1:8">
      <c r="A19" s="2" t="s">
        <v>21</v>
      </c>
      <c r="B19" s="2" t="s">
        <v>22</v>
      </c>
      <c r="C19" s="2" t="s">
        <v>23</v>
      </c>
      <c r="D19" s="2" t="s">
        <v>24</v>
      </c>
      <c r="E19" s="2" t="s">
        <v>25</v>
      </c>
      <c r="F19" s="2" t="s">
        <v>26</v>
      </c>
      <c r="G19" s="2"/>
      <c r="H19" s="2"/>
    </row>
    <row r="20" spans="1:8">
      <c r="A20" s="17" t="s">
        <v>27</v>
      </c>
      <c r="B20" s="38">
        <v>60</v>
      </c>
      <c r="C20" s="38">
        <v>0</v>
      </c>
      <c r="D20" s="38">
        <v>40</v>
      </c>
      <c r="E20" s="39">
        <v>100</v>
      </c>
      <c r="F20" s="17" t="s">
        <v>28</v>
      </c>
      <c r="G20" s="34"/>
      <c r="H20" s="34"/>
    </row>
    <row r="21" spans="1:8">
      <c r="A21" s="17" t="s">
        <v>29</v>
      </c>
      <c r="B21" s="38">
        <v>0</v>
      </c>
      <c r="C21" s="38">
        <v>60</v>
      </c>
      <c r="D21" s="38">
        <v>40</v>
      </c>
      <c r="E21" s="39">
        <v>100</v>
      </c>
      <c r="F21" s="17" t="s">
        <v>30</v>
      </c>
      <c r="G21" s="34"/>
      <c r="H21" s="34"/>
    </row>
    <row r="22" spans="1:8">
      <c r="A22" s="17" t="s">
        <v>31</v>
      </c>
      <c r="B22" s="38">
        <v>40</v>
      </c>
      <c r="C22" s="38">
        <v>30</v>
      </c>
      <c r="D22" s="38">
        <v>30</v>
      </c>
      <c r="E22" s="39">
        <v>100</v>
      </c>
      <c r="F22" s="17" t="s">
        <v>32</v>
      </c>
      <c r="G22" s="34"/>
      <c r="H22" s="34"/>
    </row>
    <row r="25" spans="1:8">
      <c r="A25" s="2" t="s">
        <v>33</v>
      </c>
      <c r="B25" s="21"/>
      <c r="C25" s="21"/>
      <c r="D25" s="21"/>
      <c r="E25" s="21"/>
      <c r="F25" s="21"/>
      <c r="G25" s="21"/>
      <c r="H25" s="22"/>
    </row>
    <row r="26" spans="1:8">
      <c r="A26" s="35" t="s">
        <v>34</v>
      </c>
      <c r="B26" s="36"/>
      <c r="C26" s="36"/>
      <c r="D26" s="36"/>
      <c r="E26" s="36"/>
      <c r="F26" s="36"/>
      <c r="G26" s="36"/>
      <c r="H26" s="36"/>
    </row>
    <row r="27" spans="1:8">
      <c r="A27" s="37" t="s">
        <v>35</v>
      </c>
      <c r="B27" s="14"/>
      <c r="C27" s="14"/>
      <c r="D27" s="14"/>
      <c r="E27" s="14"/>
      <c r="F27" s="14"/>
      <c r="G27" s="14"/>
      <c r="H27" s="14"/>
    </row>
    <row r="28" spans="1:8">
      <c r="A28" s="37" t="s">
        <v>36</v>
      </c>
      <c r="B28" s="14"/>
      <c r="C28" s="14"/>
      <c r="D28" s="14"/>
      <c r="E28" s="14"/>
      <c r="F28" s="14"/>
      <c r="G28" s="14"/>
      <c r="H28" s="14"/>
    </row>
    <row r="29" spans="1:8">
      <c r="A29" s="37" t="s">
        <v>37</v>
      </c>
      <c r="B29" s="14"/>
      <c r="C29" s="14"/>
      <c r="D29" s="14"/>
      <c r="E29" s="14"/>
      <c r="F29" s="14"/>
      <c r="G29" s="14"/>
      <c r="H29" s="14"/>
    </row>
    <row r="30" spans="1:8">
      <c r="A30" s="37" t="s">
        <v>38</v>
      </c>
      <c r="B30" s="14"/>
      <c r="C30" s="14"/>
      <c r="D30" s="14"/>
      <c r="E30" s="14"/>
      <c r="F30" s="14"/>
      <c r="G30" s="14"/>
      <c r="H30" s="14"/>
    </row>
  </sheetData>
  <mergeCells count="23">
    <mergeCell ref="A1:H1"/>
    <mergeCell ref="B3:H3"/>
    <mergeCell ref="B4:H4"/>
    <mergeCell ref="B5:H5"/>
    <mergeCell ref="B6:H6"/>
    <mergeCell ref="B7:H7"/>
    <mergeCell ref="B8:H8"/>
    <mergeCell ref="B9:H9"/>
    <mergeCell ref="A11:H11"/>
    <mergeCell ref="A12:H12"/>
    <mergeCell ref="A13:H13"/>
    <mergeCell ref="A14:H14"/>
    <mergeCell ref="A15:H15"/>
    <mergeCell ref="A16:H16"/>
    <mergeCell ref="F20:H20"/>
    <mergeCell ref="F21:H21"/>
    <mergeCell ref="F22:H22"/>
    <mergeCell ref="A25:H25"/>
    <mergeCell ref="A26:H26"/>
    <mergeCell ref="A27:H27"/>
    <mergeCell ref="A28:H28"/>
    <mergeCell ref="A29:H29"/>
    <mergeCell ref="A30:H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showGridLines="0" zoomScale="175" zoomScaleNormal="175" workbookViewId="0">
      <pane ySplit="4" topLeftCell="A5" activePane="bottomLeft" state="frozen"/>
      <selection/>
      <selection pane="bottomLeft" activeCell="A1" sqref="A1:F1"/>
    </sheetView>
  </sheetViews>
  <sheetFormatPr defaultColWidth="9" defaultRowHeight="14" outlineLevelCol="5"/>
  <cols>
    <col min="1" max="1" width="8" customWidth="1"/>
    <col min="2" max="2" width="18" customWidth="1"/>
    <col min="3" max="3" width="54" customWidth="1"/>
    <col min="4" max="6" width="14" customWidth="1"/>
  </cols>
  <sheetData>
    <row r="1" ht="24" customHeight="1" spans="1:6">
      <c r="A1" s="1" t="s">
        <v>39</v>
      </c>
    </row>
    <row r="2" spans="1:6">
      <c r="A2" s="23" t="s">
        <v>40</v>
      </c>
    </row>
    <row r="4" spans="1:6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</row>
    <row r="5" spans="1:6">
      <c r="A5" s="15">
        <v>1</v>
      </c>
      <c r="B5" s="17" t="s">
        <v>47</v>
      </c>
      <c r="C5" s="17" t="s">
        <v>48</v>
      </c>
      <c r="D5" s="31" t="s">
        <v>49</v>
      </c>
      <c r="E5" s="31" t="s">
        <v>49</v>
      </c>
      <c r="F5" s="31" t="s">
        <v>49</v>
      </c>
    </row>
    <row r="6" spans="1:6">
      <c r="A6" s="15">
        <v>2</v>
      </c>
      <c r="B6" s="17" t="s">
        <v>50</v>
      </c>
      <c r="C6" s="17" t="s">
        <v>51</v>
      </c>
      <c r="D6" s="31"/>
      <c r="E6" s="31"/>
      <c r="F6" s="31"/>
    </row>
    <row r="7" ht="26" spans="1:6">
      <c r="A7" s="15">
        <v>3</v>
      </c>
      <c r="B7" s="17" t="s">
        <v>52</v>
      </c>
      <c r="C7" s="17" t="s">
        <v>53</v>
      </c>
      <c r="D7" s="31"/>
      <c r="E7" s="31"/>
      <c r="F7" s="31"/>
    </row>
    <row r="8" spans="1:6">
      <c r="A8" s="15">
        <v>4</v>
      </c>
      <c r="B8" s="17" t="s">
        <v>54</v>
      </c>
      <c r="C8" s="17" t="s">
        <v>55</v>
      </c>
      <c r="D8" s="31"/>
      <c r="E8" s="31"/>
      <c r="F8" s="31"/>
    </row>
    <row r="9" spans="1:6">
      <c r="A9" s="15">
        <v>5</v>
      </c>
      <c r="B9" s="17" t="s">
        <v>56</v>
      </c>
      <c r="C9" s="17" t="s">
        <v>57</v>
      </c>
      <c r="D9" s="31"/>
      <c r="E9" s="31"/>
      <c r="F9" s="31"/>
    </row>
    <row r="10" ht="26" spans="1:6">
      <c r="A10" s="15">
        <v>6</v>
      </c>
      <c r="B10" s="17" t="s">
        <v>58</v>
      </c>
      <c r="C10" s="17" t="s">
        <v>59</v>
      </c>
      <c r="D10" s="31"/>
      <c r="E10" s="31"/>
      <c r="F10" s="31"/>
    </row>
    <row r="11" ht="26" spans="1:6">
      <c r="A11" s="15">
        <v>7</v>
      </c>
      <c r="B11" s="17" t="s">
        <v>60</v>
      </c>
      <c r="C11" s="17" t="s">
        <v>61</v>
      </c>
      <c r="D11" s="31"/>
      <c r="E11" s="31"/>
      <c r="F11" s="31"/>
    </row>
    <row r="12" spans="1:6">
      <c r="A12" s="15">
        <v>8</v>
      </c>
      <c r="B12" s="17" t="s">
        <v>62</v>
      </c>
      <c r="C12" s="17" t="s">
        <v>63</v>
      </c>
      <c r="D12" s="31"/>
      <c r="E12" s="31"/>
      <c r="F12" s="31"/>
    </row>
    <row r="13" spans="1:6">
      <c r="A13" s="15">
        <v>9</v>
      </c>
      <c r="B13" s="17" t="s">
        <v>64</v>
      </c>
      <c r="C13" s="17" t="s">
        <v>65</v>
      </c>
      <c r="D13" s="31"/>
      <c r="E13" s="31"/>
      <c r="F13" s="31"/>
    </row>
    <row r="14" spans="1:6">
      <c r="A14" s="15">
        <v>10</v>
      </c>
      <c r="B14" s="17" t="s">
        <v>66</v>
      </c>
      <c r="C14" s="17" t="s">
        <v>67</v>
      </c>
      <c r="D14" s="31"/>
      <c r="E14" s="31"/>
      <c r="F14" s="31"/>
    </row>
    <row r="15" ht="28" spans="1:6">
      <c r="A15" s="7" t="s">
        <v>68</v>
      </c>
      <c r="B15" s="32" t="s">
        <v>69</v>
      </c>
      <c r="C15" s="33"/>
      <c r="D15" s="20" t="str">
        <f>IF(COUNTIF(D5:D14,"不通过")&gt;0,"不通过",IF(COUNTIF(D5:D14,"待确认")+COUNTBLANK(D5:D14)&gt;0,"待确认","通过"))</f>
        <v>待确认</v>
      </c>
      <c r="E15" s="20" t="str">
        <f>IF(COUNTIF(E5:E14,"不通过")&gt;0,"不通过",IF(COUNTIF(E5:E14,"待确认")+COUNTBLANK(E5:E14)&gt;0,"待确认","通过"))</f>
        <v>待确认</v>
      </c>
      <c r="F15" s="20" t="str">
        <f>IF(COUNTIF(F5:F14,"不通过")&gt;0,"不通过",IF(COUNTIF(F5:F14,"待确认")+COUNTBLANK(F5:F14)&gt;0,"待确认","通过"))</f>
        <v>待确认</v>
      </c>
    </row>
  </sheetData>
  <mergeCells count="3">
    <mergeCell ref="A1:F1"/>
    <mergeCell ref="A2:F2"/>
    <mergeCell ref="B15:C15"/>
  </mergeCells>
  <dataValidations count="1">
    <dataValidation type="list" allowBlank="1" sqref="D5:F14">
      <formula1>"通过,不通过,待确认,不适用"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showGridLines="0" tabSelected="1" zoomScale="115" zoomScaleNormal="115" workbookViewId="0">
      <pane xSplit="5" ySplit="4" topLeftCell="F5" activePane="bottomRight" state="frozen"/>
      <selection/>
      <selection pane="topRight"/>
      <selection pane="bottomLeft"/>
      <selection pane="bottomRight" activeCell="L14" sqref="L14"/>
    </sheetView>
  </sheetViews>
  <sheetFormatPr defaultColWidth="9" defaultRowHeight="14"/>
  <cols>
    <col min="1" max="1" width="18" customWidth="1"/>
    <col min="2" max="2" width="25.7636363636364" customWidth="1"/>
    <col min="3" max="3" width="8" customWidth="1"/>
    <col min="4" max="4" width="46" customWidth="1"/>
    <col min="5" max="5" width="28" customWidth="1"/>
    <col min="6" max="6" width="19.7636363636364" customWidth="1"/>
    <col min="7" max="7" width="17.8636363636364" customWidth="1"/>
    <col min="8" max="8" width="17.4727272727273" customWidth="1"/>
    <col min="9" max="9" width="18" customWidth="1"/>
  </cols>
  <sheetData>
    <row r="1" ht="24" customHeight="1" spans="1:9">
      <c r="A1" s="1" t="s">
        <v>70</v>
      </c>
    </row>
    <row r="2" spans="1:9">
      <c r="A2" s="23" t="s">
        <v>71</v>
      </c>
    </row>
    <row r="3" spans="1:9">
      <c r="A3" s="17" t="s">
        <v>72</v>
      </c>
    </row>
    <row r="4" ht="26" spans="1:9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81</v>
      </c>
    </row>
    <row r="5" ht="39" spans="1:9">
      <c r="A5" s="28" t="s">
        <v>82</v>
      </c>
      <c r="B5" s="17" t="s">
        <v>83</v>
      </c>
      <c r="C5" s="15">
        <v>7</v>
      </c>
      <c r="D5" s="17" t="s">
        <v>84</v>
      </c>
      <c r="E5" s="17" t="s">
        <v>85</v>
      </c>
      <c r="F5" s="24"/>
      <c r="G5" s="24"/>
      <c r="H5" s="24"/>
      <c r="I5" s="17"/>
    </row>
    <row r="6" ht="39" spans="1:9">
      <c r="A6" s="29"/>
      <c r="B6" s="17" t="s">
        <v>86</v>
      </c>
      <c r="C6" s="15">
        <v>5</v>
      </c>
      <c r="D6" s="17" t="s">
        <v>87</v>
      </c>
      <c r="E6" s="17" t="s">
        <v>88</v>
      </c>
      <c r="F6" s="24"/>
      <c r="G6" s="24"/>
      <c r="H6" s="24"/>
      <c r="I6" s="17"/>
    </row>
    <row r="7" ht="26" spans="1:9">
      <c r="A7" s="30"/>
      <c r="B7" s="17" t="s">
        <v>89</v>
      </c>
      <c r="C7" s="15">
        <v>5</v>
      </c>
      <c r="D7" s="17" t="s">
        <v>90</v>
      </c>
      <c r="E7" s="17" t="s">
        <v>91</v>
      </c>
      <c r="F7" s="24"/>
      <c r="G7" s="24"/>
      <c r="H7" s="24"/>
      <c r="I7" s="17"/>
    </row>
    <row r="8" ht="39" spans="1:9">
      <c r="A8" s="28" t="s">
        <v>92</v>
      </c>
      <c r="B8" s="17" t="s">
        <v>93</v>
      </c>
      <c r="C8" s="15">
        <v>8</v>
      </c>
      <c r="D8" s="17" t="s">
        <v>94</v>
      </c>
      <c r="E8" s="17" t="s">
        <v>95</v>
      </c>
      <c r="F8" s="24"/>
      <c r="G8" s="24"/>
      <c r="H8" s="24"/>
      <c r="I8" s="17"/>
    </row>
    <row r="9" ht="26" spans="1:9">
      <c r="A9" s="29"/>
      <c r="B9" s="17" t="s">
        <v>96</v>
      </c>
      <c r="C9" s="15">
        <v>7</v>
      </c>
      <c r="D9" s="17" t="s">
        <v>97</v>
      </c>
      <c r="E9" s="17" t="s">
        <v>98</v>
      </c>
      <c r="F9" s="24"/>
      <c r="G9" s="24"/>
      <c r="H9" s="24"/>
      <c r="I9" s="17"/>
    </row>
    <row r="10" ht="26" spans="1:9">
      <c r="A10" s="29"/>
      <c r="B10" s="17" t="s">
        <v>99</v>
      </c>
      <c r="C10" s="15">
        <v>5</v>
      </c>
      <c r="D10" s="17" t="s">
        <v>100</v>
      </c>
      <c r="E10" s="17" t="s">
        <v>101</v>
      </c>
      <c r="F10" s="24"/>
      <c r="G10" s="24"/>
      <c r="H10" s="24"/>
      <c r="I10" s="17"/>
    </row>
    <row r="11" ht="26" spans="1:9">
      <c r="A11" s="30"/>
      <c r="B11" s="17" t="s">
        <v>102</v>
      </c>
      <c r="C11" s="15">
        <v>5</v>
      </c>
      <c r="D11" s="17" t="s">
        <v>103</v>
      </c>
      <c r="E11" s="17" t="s">
        <v>104</v>
      </c>
      <c r="F11" s="24"/>
      <c r="G11" s="24"/>
      <c r="H11" s="24"/>
      <c r="I11" s="17"/>
    </row>
    <row r="12" ht="26" spans="1:9">
      <c r="A12" s="28" t="s">
        <v>105</v>
      </c>
      <c r="B12" s="17" t="s">
        <v>106</v>
      </c>
      <c r="C12" s="15">
        <v>7</v>
      </c>
      <c r="D12" s="17" t="s">
        <v>107</v>
      </c>
      <c r="E12" s="17" t="s">
        <v>108</v>
      </c>
      <c r="F12" s="24"/>
      <c r="G12" s="24"/>
      <c r="H12" s="24"/>
      <c r="I12" s="17"/>
    </row>
    <row r="13" ht="39" spans="1:9">
      <c r="A13" s="29"/>
      <c r="B13" s="17" t="s">
        <v>109</v>
      </c>
      <c r="C13" s="15">
        <v>5</v>
      </c>
      <c r="D13" s="17" t="s">
        <v>110</v>
      </c>
      <c r="E13" s="17" t="s">
        <v>111</v>
      </c>
      <c r="F13" s="24"/>
      <c r="G13" s="24"/>
      <c r="H13" s="24"/>
      <c r="I13" s="17"/>
    </row>
    <row r="14" ht="26" spans="1:9">
      <c r="A14" s="30"/>
      <c r="B14" s="17" t="s">
        <v>112</v>
      </c>
      <c r="C14" s="15">
        <v>5</v>
      </c>
      <c r="D14" s="17" t="s">
        <v>113</v>
      </c>
      <c r="E14" s="17" t="s">
        <v>114</v>
      </c>
      <c r="F14" s="24"/>
      <c r="G14" s="24"/>
      <c r="H14" s="24"/>
      <c r="I14" s="17"/>
    </row>
    <row r="15" ht="39" spans="1:9">
      <c r="A15" s="28" t="s">
        <v>115</v>
      </c>
      <c r="B15" s="17" t="s">
        <v>116</v>
      </c>
      <c r="C15" s="15">
        <v>7</v>
      </c>
      <c r="D15" s="17" t="s">
        <v>117</v>
      </c>
      <c r="E15" s="17" t="s">
        <v>118</v>
      </c>
      <c r="F15" s="24"/>
      <c r="G15" s="24"/>
      <c r="H15" s="24"/>
      <c r="I15" s="17"/>
    </row>
    <row r="16" ht="39" spans="1:9">
      <c r="A16" s="29"/>
      <c r="B16" s="17" t="s">
        <v>119</v>
      </c>
      <c r="C16" s="15">
        <v>5</v>
      </c>
      <c r="D16" s="17" t="s">
        <v>120</v>
      </c>
      <c r="E16" s="17" t="s">
        <v>121</v>
      </c>
      <c r="F16" s="24"/>
      <c r="G16" s="24"/>
      <c r="H16" s="24"/>
      <c r="I16" s="17"/>
    </row>
    <row r="17" ht="26" spans="1:9">
      <c r="A17" s="30"/>
      <c r="B17" s="17" t="s">
        <v>122</v>
      </c>
      <c r="C17" s="15">
        <v>5</v>
      </c>
      <c r="D17" s="17" t="s">
        <v>123</v>
      </c>
      <c r="E17" s="17" t="s">
        <v>124</v>
      </c>
      <c r="F17" s="24"/>
      <c r="G17" s="24"/>
      <c r="H17" s="24"/>
      <c r="I17" s="17"/>
    </row>
    <row r="18" ht="26" spans="1:9">
      <c r="A18" s="28" t="s">
        <v>125</v>
      </c>
      <c r="B18" s="17" t="s">
        <v>126</v>
      </c>
      <c r="C18" s="15">
        <v>8</v>
      </c>
      <c r="D18" s="17" t="s">
        <v>127</v>
      </c>
      <c r="E18" s="17" t="s">
        <v>128</v>
      </c>
      <c r="F18" s="24"/>
      <c r="G18" s="24"/>
      <c r="H18" s="24"/>
      <c r="I18" s="17"/>
    </row>
    <row r="19" ht="26" spans="1:9">
      <c r="A19" s="29"/>
      <c r="B19" s="17" t="s">
        <v>129</v>
      </c>
      <c r="C19" s="15">
        <v>3</v>
      </c>
      <c r="D19" s="17" t="s">
        <v>130</v>
      </c>
      <c r="E19" s="17" t="s">
        <v>131</v>
      </c>
      <c r="F19" s="24"/>
      <c r="G19" s="24"/>
      <c r="H19" s="24"/>
      <c r="I19" s="17"/>
    </row>
    <row r="20" ht="39" spans="1:9">
      <c r="A20" s="30"/>
      <c r="B20" s="17" t="s">
        <v>132</v>
      </c>
      <c r="C20" s="15">
        <v>5</v>
      </c>
      <c r="D20" s="17" t="s">
        <v>133</v>
      </c>
      <c r="E20" s="17" t="s">
        <v>134</v>
      </c>
      <c r="F20" s="24"/>
      <c r="G20" s="24"/>
      <c r="H20" s="24"/>
      <c r="I20" s="17"/>
    </row>
    <row r="21" ht="26" spans="1:9">
      <c r="A21" s="28" t="s">
        <v>135</v>
      </c>
      <c r="B21" s="17" t="s">
        <v>136</v>
      </c>
      <c r="C21" s="15">
        <v>5</v>
      </c>
      <c r="D21" s="17" t="s">
        <v>137</v>
      </c>
      <c r="E21" s="17" t="s">
        <v>138</v>
      </c>
      <c r="F21" s="24"/>
      <c r="G21" s="24"/>
      <c r="H21" s="24"/>
      <c r="I21" s="17"/>
    </row>
    <row r="22" ht="26" spans="1:9">
      <c r="A22" s="30"/>
      <c r="B22" s="17" t="s">
        <v>139</v>
      </c>
      <c r="C22" s="15">
        <v>3</v>
      </c>
      <c r="D22" s="17" t="s">
        <v>140</v>
      </c>
      <c r="E22" s="17" t="s">
        <v>141</v>
      </c>
      <c r="F22" s="24"/>
      <c r="G22" s="24"/>
      <c r="H22" s="24"/>
      <c r="I22" s="17"/>
    </row>
    <row r="23" ht="28" spans="1:9">
      <c r="A23" s="26" t="s">
        <v>142</v>
      </c>
      <c r="B23" s="22"/>
      <c r="C23" s="27">
        <v>100</v>
      </c>
      <c r="D23" s="26" t="s">
        <v>143</v>
      </c>
      <c r="E23" s="26"/>
      <c r="F23" s="18">
        <f>ROUND(SUM(F5:F22),2)</f>
        <v>0</v>
      </c>
      <c r="G23" s="18">
        <f>ROUND(SUM(G5:G22),2)</f>
        <v>0</v>
      </c>
      <c r="H23" s="18">
        <f>ROUND(SUM(H5:H22),2)</f>
        <v>0</v>
      </c>
      <c r="I23" s="26"/>
    </row>
  </sheetData>
  <mergeCells count="10">
    <mergeCell ref="A1:I1"/>
    <mergeCell ref="A2:I2"/>
    <mergeCell ref="A3:I3"/>
    <mergeCell ref="A23:B23"/>
    <mergeCell ref="A5:A7"/>
    <mergeCell ref="A8:A11"/>
    <mergeCell ref="A12:A14"/>
    <mergeCell ref="A15:A17"/>
    <mergeCell ref="A18:A20"/>
    <mergeCell ref="A21:A22"/>
  </mergeCells>
  <dataValidations count="4">
    <dataValidation type="decimal" operator="between" allowBlank="1" sqref="F5:H5 F9:H9 F12:H12 F15:H15">
      <formula1>0</formula1>
      <formula2>7</formula2>
    </dataValidation>
    <dataValidation type="decimal" operator="between" allowBlank="1" sqref="F8:H8 F18:H18">
      <formula1>0</formula1>
      <formula2>8</formula2>
    </dataValidation>
    <dataValidation type="decimal" operator="between" allowBlank="1" sqref="F19:H19 F22:H22">
      <formula1>0</formula1>
      <formula2>3</formula2>
    </dataValidation>
    <dataValidation type="decimal" operator="between" allowBlank="1" sqref="F6:H7 F10:H11 F16:H17 F20:H21 F13:H14">
      <formula1>0</formula1>
      <formula2>5</formula2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showGridLines="0" zoomScale="145" zoomScaleNormal="145" workbookViewId="0">
      <pane xSplit="5" ySplit="4" topLeftCell="F5" activePane="bottomRight" state="frozen"/>
      <selection/>
      <selection pane="topRight"/>
      <selection pane="bottomLeft"/>
      <selection pane="bottomRight" activeCell="B28" sqref="B28"/>
    </sheetView>
  </sheetViews>
  <sheetFormatPr defaultColWidth="9" defaultRowHeight="14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6" width="16.7363636363636" customWidth="1"/>
    <col min="7" max="7" width="16.2272727272727" customWidth="1"/>
    <col min="8" max="8" width="13" customWidth="1"/>
    <col min="9" max="9" width="18" customWidth="1"/>
  </cols>
  <sheetData>
    <row r="1" ht="24" customHeight="1" spans="1:9">
      <c r="A1" s="1" t="s">
        <v>144</v>
      </c>
    </row>
    <row r="2" spans="1:9">
      <c r="A2" s="23" t="s">
        <v>145</v>
      </c>
    </row>
    <row r="3" spans="1:9">
      <c r="A3" s="17" t="s">
        <v>72</v>
      </c>
    </row>
    <row r="4" ht="26" spans="1:9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81</v>
      </c>
    </row>
    <row r="5" ht="26" spans="1:9">
      <c r="A5" s="28" t="s">
        <v>146</v>
      </c>
      <c r="B5" s="17" t="s">
        <v>147</v>
      </c>
      <c r="C5" s="15">
        <v>7</v>
      </c>
      <c r="D5" s="17" t="s">
        <v>148</v>
      </c>
      <c r="E5" s="17" t="s">
        <v>149</v>
      </c>
      <c r="F5" s="24"/>
      <c r="G5" s="24"/>
      <c r="H5" s="24"/>
      <c r="I5" s="17"/>
    </row>
    <row r="6" ht="26" spans="1:9">
      <c r="A6" s="29"/>
      <c r="B6" s="17" t="s">
        <v>150</v>
      </c>
      <c r="C6" s="15">
        <v>5</v>
      </c>
      <c r="D6" s="17" t="s">
        <v>151</v>
      </c>
      <c r="E6" s="17" t="s">
        <v>152</v>
      </c>
      <c r="F6" s="24"/>
      <c r="G6" s="24"/>
      <c r="H6" s="24"/>
      <c r="I6" s="17"/>
    </row>
    <row r="7" ht="26" spans="1:9">
      <c r="A7" s="30"/>
      <c r="B7" s="17" t="s">
        <v>153</v>
      </c>
      <c r="C7" s="15">
        <v>5</v>
      </c>
      <c r="D7" s="17" t="s">
        <v>154</v>
      </c>
      <c r="E7" s="17" t="s">
        <v>155</v>
      </c>
      <c r="F7" s="24"/>
      <c r="G7" s="24"/>
      <c r="H7" s="24"/>
      <c r="I7" s="17"/>
    </row>
    <row r="8" ht="26" spans="1:9">
      <c r="A8" s="28" t="s">
        <v>156</v>
      </c>
      <c r="B8" s="17" t="s">
        <v>157</v>
      </c>
      <c r="C8" s="15">
        <v>10</v>
      </c>
      <c r="D8" s="17" t="s">
        <v>158</v>
      </c>
      <c r="E8" s="17" t="s">
        <v>159</v>
      </c>
      <c r="F8" s="24"/>
      <c r="G8" s="24"/>
      <c r="H8" s="24"/>
      <c r="I8" s="17"/>
    </row>
    <row r="9" ht="26" spans="1:9">
      <c r="A9" s="29"/>
      <c r="B9" s="17" t="s">
        <v>160</v>
      </c>
      <c r="C9" s="15">
        <v>7</v>
      </c>
      <c r="D9" s="17" t="s">
        <v>161</v>
      </c>
      <c r="E9" s="17" t="s">
        <v>162</v>
      </c>
      <c r="F9" s="24"/>
      <c r="G9" s="24"/>
      <c r="H9" s="24"/>
      <c r="I9" s="17"/>
    </row>
    <row r="10" ht="26" spans="1:9">
      <c r="A10" s="29"/>
      <c r="B10" s="17" t="s">
        <v>163</v>
      </c>
      <c r="C10" s="15">
        <v>10</v>
      </c>
      <c r="D10" s="17" t="s">
        <v>164</v>
      </c>
      <c r="E10" s="17" t="s">
        <v>165</v>
      </c>
      <c r="F10" s="24"/>
      <c r="G10" s="24"/>
      <c r="H10" s="24"/>
      <c r="I10" s="17"/>
    </row>
    <row r="11" ht="26" spans="1:9">
      <c r="A11" s="30"/>
      <c r="B11" s="17" t="s">
        <v>166</v>
      </c>
      <c r="C11" s="15">
        <v>7</v>
      </c>
      <c r="D11" s="17" t="s">
        <v>167</v>
      </c>
      <c r="E11" s="17" t="s">
        <v>168</v>
      </c>
      <c r="F11" s="24"/>
      <c r="G11" s="24"/>
      <c r="H11" s="24"/>
      <c r="I11" s="17"/>
    </row>
    <row r="12" ht="26" spans="1:9">
      <c r="A12" s="28" t="s">
        <v>169</v>
      </c>
      <c r="B12" s="17" t="s">
        <v>170</v>
      </c>
      <c r="C12" s="15">
        <v>8</v>
      </c>
      <c r="D12" s="17" t="s">
        <v>171</v>
      </c>
      <c r="E12" s="17" t="s">
        <v>172</v>
      </c>
      <c r="F12" s="24"/>
      <c r="G12" s="24"/>
      <c r="H12" s="24"/>
      <c r="I12" s="17"/>
    </row>
    <row r="13" ht="26" spans="1:9">
      <c r="A13" s="30"/>
      <c r="B13" s="17" t="s">
        <v>173</v>
      </c>
      <c r="C13" s="15">
        <v>8</v>
      </c>
      <c r="D13" s="17" t="s">
        <v>174</v>
      </c>
      <c r="E13" s="17" t="s">
        <v>175</v>
      </c>
      <c r="F13" s="24"/>
      <c r="G13" s="24"/>
      <c r="H13" s="24"/>
      <c r="I13" s="17"/>
    </row>
    <row r="14" ht="26" spans="1:9">
      <c r="A14" s="28" t="s">
        <v>176</v>
      </c>
      <c r="B14" s="17" t="s">
        <v>177</v>
      </c>
      <c r="C14" s="15">
        <v>10</v>
      </c>
      <c r="D14" s="17" t="s">
        <v>178</v>
      </c>
      <c r="E14" s="17" t="s">
        <v>179</v>
      </c>
      <c r="F14" s="24"/>
      <c r="G14" s="24"/>
      <c r="H14" s="24"/>
      <c r="I14" s="17"/>
    </row>
    <row r="15" ht="26" spans="1:9">
      <c r="A15" s="30"/>
      <c r="B15" s="17" t="s">
        <v>180</v>
      </c>
      <c r="C15" s="15">
        <v>7</v>
      </c>
      <c r="D15" s="17" t="s">
        <v>181</v>
      </c>
      <c r="E15" s="17" t="s">
        <v>182</v>
      </c>
      <c r="F15" s="24"/>
      <c r="G15" s="24"/>
      <c r="H15" s="24"/>
      <c r="I15" s="17"/>
    </row>
    <row r="16" ht="26" spans="1:9">
      <c r="A16" s="28" t="s">
        <v>183</v>
      </c>
      <c r="B16" s="17" t="s">
        <v>184</v>
      </c>
      <c r="C16" s="15">
        <v>7</v>
      </c>
      <c r="D16" s="17" t="s">
        <v>185</v>
      </c>
      <c r="E16" s="17" t="s">
        <v>186</v>
      </c>
      <c r="F16" s="24"/>
      <c r="G16" s="24"/>
      <c r="H16" s="24"/>
      <c r="I16" s="17"/>
    </row>
    <row r="17" ht="26" spans="1:9">
      <c r="A17" s="30"/>
      <c r="B17" s="17" t="s">
        <v>187</v>
      </c>
      <c r="C17" s="15">
        <v>9</v>
      </c>
      <c r="D17" s="17" t="s">
        <v>188</v>
      </c>
      <c r="E17" s="17" t="s">
        <v>189</v>
      </c>
      <c r="F17" s="24"/>
      <c r="G17" s="24"/>
      <c r="H17" s="24"/>
      <c r="I17" s="17"/>
    </row>
    <row r="18" ht="28" spans="1:9">
      <c r="A18" s="26" t="s">
        <v>142</v>
      </c>
      <c r="B18" s="22"/>
      <c r="C18" s="27">
        <v>100</v>
      </c>
      <c r="D18" s="26" t="s">
        <v>143</v>
      </c>
      <c r="E18" s="26"/>
      <c r="F18" s="18">
        <f>ROUND(SUM(F5:F17),2)</f>
        <v>0</v>
      </c>
      <c r="G18" s="18">
        <f>ROUND(SUM(G5:G17),2)</f>
        <v>0</v>
      </c>
      <c r="H18" s="18">
        <f>ROUND(SUM(H5:H17),2)</f>
        <v>0</v>
      </c>
      <c r="I18" s="26"/>
    </row>
  </sheetData>
  <mergeCells count="9">
    <mergeCell ref="A1:I1"/>
    <mergeCell ref="A2:I2"/>
    <mergeCell ref="A3:I3"/>
    <mergeCell ref="A18:B18"/>
    <mergeCell ref="A5:A7"/>
    <mergeCell ref="A8:A11"/>
    <mergeCell ref="A12:A13"/>
    <mergeCell ref="A14:A15"/>
    <mergeCell ref="A16:A17"/>
  </mergeCells>
  <dataValidations count="5">
    <dataValidation type="decimal" operator="between" allowBlank="1" sqref="F5:H5 F9:H9 F11:H11 F15:H16">
      <formula1>0</formula1>
      <formula2>7</formula2>
    </dataValidation>
    <dataValidation type="decimal" operator="between" allowBlank="1" sqref="F8:H8 F10:H10 F14:H14">
      <formula1>0</formula1>
      <formula2>10</formula2>
    </dataValidation>
    <dataValidation type="decimal" operator="between" allowBlank="1" sqref="F17:H17">
      <formula1>0</formula1>
      <formula2>9</formula2>
    </dataValidation>
    <dataValidation type="decimal" operator="between" allowBlank="1" sqref="F6:H7">
      <formula1>0</formula1>
      <formula2>5</formula2>
    </dataValidation>
    <dataValidation type="decimal" operator="between" allowBlank="1" sqref="F12:H13">
      <formula1>0</formula1>
      <formula2>8</formula2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showGridLines="0" zoomScale="145" zoomScaleNormal="145" workbookViewId="0">
      <pane xSplit="5" ySplit="4" topLeftCell="F5" activePane="bottomRight" state="frozen"/>
      <selection/>
      <selection pane="topRight"/>
      <selection pane="bottomLeft"/>
      <selection pane="bottomRight" activeCell="F4" sqref="F4:H4"/>
    </sheetView>
  </sheetViews>
  <sheetFormatPr defaultColWidth="9" defaultRowHeight="14" outlineLevelRow="5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8" width="13" customWidth="1"/>
    <col min="9" max="9" width="18" customWidth="1"/>
    <col min="10" max="12" width="13" customWidth="1"/>
  </cols>
  <sheetData>
    <row r="1" ht="24" customHeight="1" spans="1:12">
      <c r="A1" s="1" t="s">
        <v>190</v>
      </c>
    </row>
    <row r="2" ht="26" spans="1:12">
      <c r="A2" s="23" t="s">
        <v>191</v>
      </c>
      <c r="J2" s="2" t="s">
        <v>192</v>
      </c>
      <c r="K2" s="2" t="s">
        <v>193</v>
      </c>
      <c r="L2" s="2" t="s">
        <v>194</v>
      </c>
    </row>
    <row r="3" spans="1:12">
      <c r="A3" s="17" t="s">
        <v>195</v>
      </c>
      <c r="J3" s="24"/>
      <c r="K3" s="24"/>
      <c r="L3" s="24"/>
    </row>
    <row r="4" spans="1:12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196</v>
      </c>
      <c r="G4" s="2" t="s">
        <v>197</v>
      </c>
      <c r="H4" s="2" t="s">
        <v>198</v>
      </c>
      <c r="I4" s="2" t="s">
        <v>81</v>
      </c>
    </row>
    <row r="5" ht="39" spans="1:12">
      <c r="A5" s="25" t="s">
        <v>199</v>
      </c>
      <c r="B5" s="17" t="s">
        <v>200</v>
      </c>
      <c r="C5" s="15">
        <v>100</v>
      </c>
      <c r="D5" s="17" t="s">
        <v>201</v>
      </c>
      <c r="E5" s="17" t="s">
        <v>202</v>
      </c>
      <c r="F5" s="18">
        <f>IF(OR($J$3="",COUNT($J$3:$L$3)=0),0,ROUND(MIN($J$3:$L$3)/$J$3*100,2))</f>
        <v>0</v>
      </c>
      <c r="G5" s="18">
        <f>IF(OR($K$3="",COUNT($J$3:$L$3)=0),0,ROUND(MIN($J$3:$L$3)/$K$3*100,2))</f>
        <v>0</v>
      </c>
      <c r="H5" s="18">
        <f>IF(OR($L$3="",COUNT($J$3:$L$3)=0),0,ROUND(MIN($J$3:$L$3)/$L$3*100,2))</f>
        <v>0</v>
      </c>
      <c r="I5" s="17"/>
    </row>
    <row r="6" spans="1:12">
      <c r="A6" s="26" t="s">
        <v>203</v>
      </c>
      <c r="B6" s="22"/>
      <c r="C6" s="27">
        <v>100</v>
      </c>
      <c r="D6" s="26" t="s">
        <v>204</v>
      </c>
      <c r="E6" s="26"/>
      <c r="F6" s="18">
        <f>ROUND(F5,2)</f>
        <v>0</v>
      </c>
      <c r="G6" s="18">
        <f>ROUND(G5,2)</f>
        <v>0</v>
      </c>
      <c r="H6" s="18">
        <f>ROUND(H5,2)</f>
        <v>0</v>
      </c>
      <c r="I6" s="26"/>
    </row>
  </sheetData>
  <mergeCells count="4">
    <mergeCell ref="A1:I1"/>
    <mergeCell ref="A2:I2"/>
    <mergeCell ref="A3:I3"/>
    <mergeCell ref="A6:B6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showGridLines="0" zoomScale="145" zoomScaleNormal="145" workbookViewId="0">
      <pane ySplit="9" topLeftCell="A10" activePane="bottomLeft" state="frozen"/>
      <selection/>
      <selection pane="bottomLeft" activeCell="C4" sqref="C4:E7"/>
    </sheetView>
  </sheetViews>
  <sheetFormatPr defaultColWidth="9" defaultRowHeight="14" outlineLevelCol="4"/>
  <cols>
    <col min="1" max="1" width="20" customWidth="1"/>
    <col min="2" max="4" width="14" customWidth="1"/>
    <col min="5" max="5" width="48" customWidth="1"/>
  </cols>
  <sheetData>
    <row r="1" ht="24" customHeight="1" spans="1:5">
      <c r="A1" s="1" t="s">
        <v>205</v>
      </c>
    </row>
    <row r="3" spans="1:5">
      <c r="A3" s="2" t="s">
        <v>206</v>
      </c>
      <c r="B3" s="3" t="s">
        <v>207</v>
      </c>
      <c r="C3" s="4" t="s">
        <v>208</v>
      </c>
      <c r="D3" s="5"/>
      <c r="E3" s="6"/>
    </row>
    <row r="4" spans="1:5">
      <c r="A4" s="7" t="s">
        <v>209</v>
      </c>
      <c r="B4" s="8">
        <v>40</v>
      </c>
      <c r="C4" s="9"/>
      <c r="D4" s="10"/>
      <c r="E4" s="11"/>
    </row>
    <row r="5" spans="1:5">
      <c r="A5" s="7" t="s">
        <v>210</v>
      </c>
      <c r="B5" s="8">
        <v>20</v>
      </c>
      <c r="C5" s="9"/>
      <c r="D5" s="10"/>
      <c r="E5" s="11"/>
    </row>
    <row r="6" spans="1:5">
      <c r="A6" s="7" t="s">
        <v>211</v>
      </c>
      <c r="B6" s="8">
        <v>40</v>
      </c>
      <c r="C6" s="9"/>
      <c r="D6" s="10"/>
      <c r="E6" s="11"/>
    </row>
    <row r="7" spans="1:5">
      <c r="A7" s="7" t="s">
        <v>212</v>
      </c>
      <c r="B7" s="12">
        <f>SUM(B4:B6)</f>
        <v>100</v>
      </c>
      <c r="C7" s="9"/>
      <c r="D7" s="10"/>
      <c r="E7" s="11"/>
    </row>
    <row r="8" spans="1:5">
      <c r="A8" s="7" t="s">
        <v>213</v>
      </c>
      <c r="B8" s="13"/>
      <c r="C8" s="14"/>
      <c r="D8" s="14"/>
      <c r="E8" s="14"/>
    </row>
    <row r="10" spans="1:5">
      <c r="A10" s="2" t="s">
        <v>214</v>
      </c>
      <c r="B10" s="2" t="s">
        <v>44</v>
      </c>
      <c r="C10" s="2" t="s">
        <v>45</v>
      </c>
      <c r="D10" s="2" t="s">
        <v>46</v>
      </c>
      <c r="E10" s="2" t="s">
        <v>208</v>
      </c>
    </row>
    <row r="11" spans="1:5">
      <c r="A11" s="15" t="s">
        <v>215</v>
      </c>
      <c r="B11" s="16" t="str">
        <f>资格审查!D15</f>
        <v>待确认</v>
      </c>
      <c r="C11" s="16" t="str">
        <f>资格审查!E15</f>
        <v>待确认</v>
      </c>
      <c r="D11" s="16" t="str">
        <f>资格审查!F15</f>
        <v>待确认</v>
      </c>
      <c r="E11" s="17" t="s">
        <v>216</v>
      </c>
    </row>
    <row r="12" spans="1:5">
      <c r="A12" s="15" t="s">
        <v>217</v>
      </c>
      <c r="B12" s="18" t="str">
        <f>IF(B11="通过",定制开发评分!F23,"")</f>
        <v/>
      </c>
      <c r="C12" s="18" t="str">
        <f>IF(C11="通过",定制开发评分!G23,"")</f>
        <v/>
      </c>
      <c r="D12" s="18" t="str">
        <f>IF(D11="通过",定制开发评分!H23,"")</f>
        <v/>
      </c>
      <c r="E12" s="17" t="s">
        <v>218</v>
      </c>
    </row>
    <row r="13" spans="1:5">
      <c r="A13" s="15" t="s">
        <v>219</v>
      </c>
      <c r="B13" s="18" t="str">
        <f>IF(B11="通过",驻场运维评分!F18,"")</f>
        <v/>
      </c>
      <c r="C13" s="18" t="str">
        <f>IF(C11="通过",驻场运维评分!G18,"")</f>
        <v/>
      </c>
      <c r="D13" s="18" t="str">
        <f>IF(D11="通过",驻场运维评分!H18,"")</f>
        <v/>
      </c>
      <c r="E13" s="17" t="s">
        <v>220</v>
      </c>
    </row>
    <row r="14" spans="1:5">
      <c r="A14" s="15" t="s">
        <v>221</v>
      </c>
      <c r="B14" s="18" t="str">
        <f>IF(B11="通过",统一报价评分!F6,"")</f>
        <v/>
      </c>
      <c r="C14" s="18" t="str">
        <f>IF(C11="通过",统一报价评分!G6,"")</f>
        <v/>
      </c>
      <c r="D14" s="18" t="str">
        <f>IF(D11="通过",统一报价评分!H6,"")</f>
        <v/>
      </c>
      <c r="E14" s="17" t="s">
        <v>222</v>
      </c>
    </row>
    <row r="15" ht="26" spans="1:5">
      <c r="A15" s="19" t="s">
        <v>223</v>
      </c>
      <c r="B15" s="18" t="str">
        <f>IF(B11="通过",ROUND(B12*$B$4/100+B13*$B$5/100+B14*$B$6/100,2),"")</f>
        <v/>
      </c>
      <c r="C15" s="18" t="str">
        <f>IF(C11="通过",ROUND(C12*$B$4/100+C13*$B$5/100+C14*$B$6/100,2),"")</f>
        <v/>
      </c>
      <c r="D15" s="18" t="str">
        <f>IF(D11="通过",ROUND(D12*$B$4/100+D13*$B$5/100+D14*$B$6/100,2),"")</f>
        <v/>
      </c>
      <c r="E15" s="17" t="s">
        <v>224</v>
      </c>
    </row>
    <row r="16" spans="1:5">
      <c r="A16" s="7" t="s">
        <v>225</v>
      </c>
      <c r="B16" s="20" t="str">
        <f>IF(B11="通过",RANK(B15,$B$15:$D$15,0),"")</f>
        <v/>
      </c>
      <c r="C16" s="20" t="str">
        <f>IF(C11="通过",RANK(C15,$B$15:$D$15,0),"")</f>
        <v/>
      </c>
      <c r="D16" s="20" t="str">
        <f>IF(D11="通过",RANK(D15,$B$15:$D$15,0),"")</f>
        <v/>
      </c>
      <c r="E16" s="17" t="s">
        <v>226</v>
      </c>
    </row>
    <row r="19" spans="1:5">
      <c r="A19" s="2" t="s">
        <v>227</v>
      </c>
      <c r="B19" s="21"/>
      <c r="C19" s="21"/>
      <c r="D19" s="21"/>
      <c r="E19" s="22"/>
    </row>
    <row r="20" spans="1:5">
      <c r="A20" s="17" t="s">
        <v>228</v>
      </c>
    </row>
    <row r="21" spans="1:5">
      <c r="A21" s="17" t="s">
        <v>229</v>
      </c>
    </row>
    <row r="22" spans="1:5">
      <c r="A22" s="17" t="s">
        <v>230</v>
      </c>
    </row>
    <row r="23" spans="1:5">
      <c r="A23" s="17" t="s">
        <v>231</v>
      </c>
    </row>
  </sheetData>
  <mergeCells count="12">
    <mergeCell ref="A1:E1"/>
    <mergeCell ref="C3:E3"/>
    <mergeCell ref="C4:E4"/>
    <mergeCell ref="C5:E5"/>
    <mergeCell ref="C6:E6"/>
    <mergeCell ref="C7:E7"/>
    <mergeCell ref="B8:E8"/>
    <mergeCell ref="A19:E19"/>
    <mergeCell ref="A20:E20"/>
    <mergeCell ref="A21:E21"/>
    <mergeCell ref="A22:E22"/>
    <mergeCell ref="A23:E23"/>
  </mergeCells>
  <dataValidations count="1">
    <dataValidation type="whole" operator="between" sqref="B4:B6">
      <formula1>0</formula1>
      <formula2>100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资格审查</vt:lpstr>
      <vt:lpstr>定制开发评分</vt:lpstr>
      <vt:lpstr>驻场运维评分</vt:lpstr>
      <vt:lpstr>统一报价评分</vt:lpstr>
      <vt:lpstr>汇总排名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不要说话</cp:lastModifiedBy>
  <dcterms:created xsi:type="dcterms:W3CDTF">2026-04-20T08:53:00Z</dcterms:created>
  <dcterms:modified xsi:type="dcterms:W3CDTF">2026-04-20T09:16:56Z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00BAAF596DC941F58E48F087FDBFFA3B_12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