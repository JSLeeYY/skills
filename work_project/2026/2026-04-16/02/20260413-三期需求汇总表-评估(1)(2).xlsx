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综述" sheetId="5" r:id="rId1"/>
    <sheet name="PECMS(对内+对外PC)" sheetId="1" r:id="rId2"/>
    <sheet name="APP" sheetId="2" r:id="rId3"/>
    <sheet name="安全管理" sheetId="3" r:id="rId4"/>
    <sheet name="经营管理分析"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<sst xmlns="http://schemas.openxmlformats.org/spreadsheetml/2006/main" count="499" uniqueCount="301">
  <si>
    <t>平台/开发工作量</t>
  </si>
  <si>
    <t>前端(人/天)</t>
  </si>
  <si>
    <t>后端(人/天)</t>
  </si>
  <si>
    <t>UI(人/天)</t>
  </si>
  <si>
    <t>测试(人/天)</t>
  </si>
  <si>
    <t>合计</t>
  </si>
  <si>
    <t>砍价后</t>
  </si>
  <si>
    <t>对内PECMS平台开发</t>
  </si>
  <si>
    <t>对外PECMS平台开发</t>
  </si>
  <si>
    <t>对内PECMS-APP端</t>
  </si>
  <si>
    <t>执行管理与经营分析平台</t>
  </si>
  <si>
    <t>安全管理平台</t>
  </si>
  <si>
    <t>总计</t>
  </si>
  <si>
    <t>PECMS三期需求汇总</t>
  </si>
  <si>
    <t>对内</t>
  </si>
  <si>
    <t>对外</t>
  </si>
  <si>
    <t>功能模块</t>
  </si>
  <si>
    <t>详细描述</t>
  </si>
  <si>
    <t>提需求部门</t>
  </si>
  <si>
    <t>分类</t>
  </si>
  <si>
    <t>备注</t>
  </si>
  <si>
    <t>补充说明</t>
  </si>
  <si>
    <t>工作量(人/天)</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</si>
  <si>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</si>
  <si>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</si>
  <si>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</si>
  <si>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</si>
  <si>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</si>
  <si>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</si>
  <si>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</si>
  <si>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</si>
  <si>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</si>
  <si>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</si>
  <si>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</si>
  <si>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</si>
  <si>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</si>
  <si>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增加派单人员变更功能，需选择新的派遣人员(必选)、辅助人员(必选)，填写变更原因(必填)；流程由区域经理|技术服务选择自己监管的派单进行发起、经总监代表审批；流程审批通过后需由原派遣人员发起人员交接流程，人员交接审批通过后，派单数据权限由原派遣人转交至新派遣人。支持角色：监理人员、区域经理、技术服务、执行部、总监代表、总监</t>
  </si>
  <si>
    <r>
      <rPr>
        <sz val="11"/>
        <color theme="1"/>
        <rFont val="宋体"/>
        <charset val="134"/>
        <scheme val="minor"/>
      </rPr>
      <t>监理人员/区域经理/技术服务/执行部/总监代表/项目总监-我的派单列表页面增加派单全周期人员变更按钮，在列表勾选一个派单后点击按钮可查看派单全周期产生的人员变更情况(</t>
    </r>
    <r>
      <rPr>
        <sz val="11"/>
        <color theme="9" tint="-0.25"/>
        <rFont val="宋体"/>
        <charset val="134"/>
        <scheme val="minor"/>
      </rPr>
      <t>需明确人员参与派单的具体时间段；</t>
    </r>
    <r>
      <rPr>
        <sz val="11"/>
        <color theme="1"/>
        <rFont val="宋体"/>
        <charset val="134"/>
        <scheme val="minor"/>
      </rPr>
      <t>包含派单其他信息变更、派单重启、派单人员变更流程导致的人员变更)，查看内容包含原派遣人员、原辅助人员，新派遣人员、新辅助人员、人员变更审批通过时间。点击每个变更数据，可下钻至人员变更的原始数据，包含派单其他信息变更、派单重启、派单人员变更信息</t>
    </r>
  </si>
  <si>
    <t>综合管理平台的打卡勾选派单时，增加用户当前位置与派单位置校验功能，需与至少一个派单地址在同区内才允许打卡。</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</si>
  <si>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</si>
  <si>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</si>
  <si>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</si>
  <si>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</si>
  <si>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</si>
  <si>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</si>
  <si>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</si>
  <si>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监理日志导出，勾选导出是否含照片功能，包括日志详情及日志批量导出。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</si>
  <si>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</si>
  <si>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t>
  </si>
  <si>
    <r>
      <rPr>
        <sz val="11"/>
        <color theme="1"/>
        <rFont val="宋体"/>
        <charset val="134"/>
        <scheme val="minor"/>
      </rPr>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t>
    </r>
    <r>
      <rPr>
        <strike/>
        <sz val="11"/>
        <color theme="9" tint="-0.25"/>
        <rFont val="宋体"/>
        <charset val="134"/>
        <scheme val="minor"/>
      </rPr>
      <t>调整前后的变化</t>
    </r>
    <r>
      <rPr>
        <sz val="11"/>
        <color theme="1"/>
        <rFont val="宋体"/>
        <charset val="134"/>
        <scheme val="minor"/>
      </rPr>
      <t>；日志列表支持按操作人、操作时间、设备类型筛选。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r>
  </si>
  <si>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</si>
  <si>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</si>
  <si>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</si>
  <si>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仅复制细则必选表单及控制要点对应空白表，不复制实际填报数据，避免细则未审批就已存在真实业务数据。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</si>
  <si>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</si>
  <si>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</si>
  <si>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</si>
  <si>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</si>
  <si>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</si>
  <si>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</si>
  <si>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</si>
  <si>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</si>
  <si>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耐压/泄漏试验见证记录表细则填报表取消图片上传入口，对应的细则查看、细则导出、细则历史版本查看、细则历史版本导出、周报查看、周报导出、日志查看、日志导出、监理报告查看、监理报告导出、监理报告历史版本查看、监理报告历史版本导出表增加判断逻辑，对于已上传过图片的数据，仍进行图片展示，对于未上传图片的数据，不再显示图片区域。</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</si>
  <si>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</si>
  <si>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</si>
  <si>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</si>
  <si>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</si>
  <si>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</si>
  <si>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全局消息功能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</si>
  <si>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</si>
  <si>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</si>
  <si>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</si>
  <si>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</si>
  <si>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pecms、安全平台、综合管理平台增加门户消息接口调用，将消息内容、消息类型等信息推送至门户，由门户统一进行app消息推送(不含泛微二开部分工作量)</t>
  </si>
  <si>
    <t>项目管理</t>
  </si>
  <si>
    <r>
      <rPr>
        <sz val="11"/>
        <color theme="1"/>
        <rFont val="宋体"/>
        <charset val="134"/>
        <scheme val="minor"/>
      </rPr>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t>
    </r>
    <r>
      <rPr>
        <strike/>
        <sz val="11"/>
        <color rgb="FFFF0000"/>
        <rFont val="宋体"/>
        <charset val="134"/>
        <scheme val="minor"/>
      </rPr>
      <t>项目经理</t>
    </r>
    <r>
      <rPr>
        <sz val="11"/>
        <color rgb="FFFF0000"/>
        <rFont val="宋体"/>
        <charset val="134"/>
        <scheme val="minor"/>
      </rPr>
      <t>项目创建人(负责人)</t>
    </r>
    <r>
      <rPr>
        <sz val="11"/>
        <color theme="1"/>
        <rFont val="宋体"/>
        <charset val="134"/>
        <scheme val="minor"/>
      </rPr>
      <t xml:space="preserve"> A、接收</t>
    </r>
    <r>
      <rPr>
        <strike/>
        <sz val="11"/>
        <color rgb="FFFF0000"/>
        <rFont val="宋体"/>
        <charset val="134"/>
        <scheme val="minor"/>
      </rPr>
      <t>项目经理</t>
    </r>
    <r>
      <rPr>
        <sz val="11"/>
        <color rgb="FFFF0000"/>
        <rFont val="宋体"/>
        <charset val="134"/>
        <scheme val="minor"/>
      </rPr>
      <t>项目创建人(负责人)</t>
    </r>
    <r>
      <rPr>
        <sz val="11"/>
        <color theme="1"/>
        <rFont val="宋体"/>
        <charset val="134"/>
        <scheme val="minor"/>
      </rPr>
      <t xml:space="preserve"> B依次审批通过后，系统自动将项目</t>
    </r>
    <r>
      <rPr>
        <strike/>
        <sz val="11"/>
        <color rgb="FFFF0000"/>
        <rFont val="宋体"/>
        <charset val="134"/>
        <scheme val="minor"/>
      </rPr>
      <t>及下属所有派单</t>
    </r>
    <r>
      <rPr>
        <sz val="11"/>
        <color theme="1"/>
        <rFont val="宋体"/>
        <charset val="134"/>
        <scheme val="minor"/>
      </rPr>
      <t>的</t>
    </r>
    <r>
      <rPr>
        <strike/>
        <sz val="11"/>
        <color rgb="FFFF0000"/>
        <rFont val="宋体"/>
        <charset val="134"/>
        <scheme val="minor"/>
      </rPr>
      <t>负责人</t>
    </r>
    <r>
      <rPr>
        <sz val="11"/>
        <color rgb="FFFF0000"/>
        <rFont val="宋体"/>
        <charset val="134"/>
        <scheme val="minor"/>
      </rPr>
      <t>项目创建人(负责人)</t>
    </r>
    <r>
      <rPr>
        <sz val="11"/>
        <color theme="1"/>
        <rFont val="宋体"/>
        <charset val="134"/>
        <scheme val="minor"/>
      </rPr>
      <t>从 A 变更为 B，历史数据保留，权限同步切换，全程可追溯。</t>
    </r>
  </si>
  <si>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</si>
  <si>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</si>
  <si>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</si>
  <si>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</si>
  <si>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</si>
  <si>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</si>
  <si>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</si>
  <si>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</si>
  <si>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</si>
  <si>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</si>
  <si>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</si>
  <si>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</si>
  <si>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</si>
  <si>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派单变更历史管理</t>
  </si>
  <si>
    <t>增加派单变更(其他信息变更、合同号变更、派单重启)信息监听，包含合同号变更、人员变更、计划时间变更</t>
  </si>
  <si>
    <t>用户管理</t>
  </si>
  <si>
    <t>增加上级ERP唯一标识字段，新增、修改时需维护</t>
  </si>
  <si>
    <t>供应商与技术服务人员管理</t>
  </si>
  <si>
    <t>平台增加供应商角色，管理员可为拥有供应商角色的用户分配技术服务人员(可选数据来源于技术服务部门)</t>
  </si>
  <si>
    <t>技术服务人员考勤管理</t>
  </si>
  <si>
    <t>不同供应商账号登录后，可查看分配给自己的技术服务人员以及人员参与派单的明细，提供人员与派单明细导出功能(导出模板待提供)，供应商可在导出的excel中进行考勤填报，填报后将考勤数据导入平台，提供批量提交审批按钮，供应商可勾选多条数据进行提交，提交时系统校验考勤数据与技术服务人员参与派单时间是否冲突，冲突则做出提示并且不允许提交数据，不冲突则提交流程至总监代表、技术服务管理者角色处审批。平台提供填报按钮，点击填报按钮可对某一条技术服务人员参与的派单进行考勤填报，填报后可保存或提交数据。针对审批通过的数据，技术服务管理者角色可进行修改。
需增加查看菜单支持供应商、总监代表、技术服务角色查看权限内的数据。</t>
  </si>
  <si>
    <t>技术服务人员成本管理</t>
  </si>
  <si>
    <t>技术服务人员的每月成本由供应商按每人每月xx成本进行填报。提供导出功能，导出人员清单excel后，供应商可在excel中进行成本填报，填报后将excel导入平台完成本月成本填报。填报后批量提交至技术服务管理者处审批。(这里审批后是否允许修改？)
需增加查看菜单支持供应商、技术服务角色查看权限内的数据。</t>
  </si>
  <si>
    <t>合同管理</t>
  </si>
  <si>
    <t>合同管理功能增加驻厂监造金额、巡检监造金额、项目经理上级ERP唯一标识字段，用于O&amp;M平台关联人员与计算产值；增加结算方式、结算天数、结算周期(默认月)字段，用于O&amp;M进行结算提醒</t>
  </si>
  <si>
    <t>合同管理历史数据进行拆分清洗，具体拆分规则需明确</t>
  </si>
  <si>
    <t>公司-检验主管</t>
  </si>
  <si>
    <t>公司模块增加检验主管管理功能，可为公司分配对应的检验主管</t>
  </si>
  <si>
    <t>业主资料库</t>
  </si>
  <si>
    <t>增加业主资料库菜单，该菜单仅展示该检验主管负责的业主资料数据。 - 仅显示原始数据（如业主提交的文本、附件等），不包含“创建派单”按钮。 - 数据列表字段：项目名称、业主信息、提交时间、摘要内容（不可编辑）。</t>
  </si>
  <si>
    <t>各项合计</t>
  </si>
  <si>
    <t>工作量汇总</t>
  </si>
  <si>
    <t>附：开放接口方案一工作量59.5人/天，方案二工作量59人/天</t>
  </si>
  <si>
    <t>开放接口方案一</t>
  </si>
  <si>
    <t>对外提供标准接口，用于查询租户(公司)的检验主管</t>
  </si>
  <si>
    <t>对外提供标准接口，用于接收业主提交的基本信息数据</t>
  </si>
  <si>
    <t>对外提供标准接口，用于接收业主提交的附件数据</t>
  </si>
  <si>
    <t>对外提供标准接口，根据项目ID、查询派单变更明细数据</t>
  </si>
  <si>
    <t>对外提供标准接口，根据项目ID、派单ID(非必传)查询文档目录清单(监理大纲、统计报表、监理实施细则、监理报告)</t>
  </si>
  <si>
    <t>对外提供标准接口，根据文档目录ID查询文档目录详情</t>
  </si>
  <si>
    <t>对外提供标准接口，根据文档目录ID查询历史版本清单</t>
  </si>
  <si>
    <t>对外提供标准接口，根据派单与版本信息查询历史版本详情</t>
  </si>
  <si>
    <t>对外提供标准接口，根据项目ID、派单ID(非必传)查询录入细则必选表单列表(设备维度)</t>
  </si>
  <si>
    <t>对外提供标准接口，根据设备ID查询细则必选表单详情(编制说明、主要参数、监理依据、控制要点)</t>
  </si>
  <si>
    <t>对外提供标准接口，根据项目ID、派单ID(非必传)查询交底列表</t>
  </si>
  <si>
    <t>对外提供标准接口，根据交底ID查询交底详情</t>
  </si>
  <si>
    <t>对外提供标准接口，根据项目ID、派单ID(非必传)查询人员交接列表</t>
  </si>
  <si>
    <t>对外提供标准接口，根据人员交际ID查询交接详情</t>
  </si>
  <si>
    <t>对外提供标准接口，根据项目ID、派单ID(非必传)查询到岗列表</t>
  </si>
  <si>
    <t>对外提供标准接口，根据到岗ID查询到岗详情</t>
  </si>
  <si>
    <t>对外提供标准接口，根据项目ID、派单ID(非必传)查询设备申请列表</t>
  </si>
  <si>
    <t>对外提供标准接口，根据设备申请ID查询设备清单</t>
  </si>
  <si>
    <t>对外提供标准接口，根据项目ID、派单ID(非必传)查询日/月报列表</t>
  </si>
  <si>
    <t>对外提供标准接口，根据日/月报ID查询详细信息</t>
  </si>
  <si>
    <t>对外提供标准接口，根据项目ID、派单ID(非必传)查询监理大纲列表</t>
  </si>
  <si>
    <t>对外提供标准接口，根据大纲ID查询大纲详情</t>
  </si>
  <si>
    <t>对外提供标准接口，根据项目ID、派单ID(非必传)查询日志列表</t>
  </si>
  <si>
    <t>对外提供标准接口，根据日志ID查询填报日志的日期清单</t>
  </si>
  <si>
    <t>对外提供标准接口，根据日志ID与日期查询填报详情(进度及其他、过程巡检问题、当天检验内容)</t>
  </si>
  <si>
    <t>对外提供标准接口，根据项目ID、派单ID(非必传)查询监理实施细则列表</t>
  </si>
  <si>
    <t>对外提供标准接口，根据细则文件ID查询整本细则填报的报表内容</t>
  </si>
  <si>
    <t>对外提供标准接口，根据项目ID、派单ID(非必传)查询监理报告列表</t>
  </si>
  <si>
    <t>对外提供标准接口，根据监理报告文件ID查询整本报告填报的报表内容</t>
  </si>
  <si>
    <t>对外提供标准接口，根据项目ID、派单ID(非必传)查询监理总结列表</t>
  </si>
  <si>
    <t>对外提供标准接口，根据监理总结ID查询监理总结详情</t>
  </si>
  <si>
    <t>对外提供标准接口，根据监理总结ID查询监理总结的历史版本</t>
  </si>
  <si>
    <t>对外提供标准接口，根据派单ID与版本号查询历史版本详情</t>
  </si>
  <si>
    <t>开放接口方案二</t>
  </si>
  <si>
    <t>开放接口平台改造，与对外pecms平台交互时增加租户信息传递</t>
  </si>
  <si>
    <t>对外提供标准接口，根据项目ID、派单ID(非必传)查询文档目录各版本明细数据(监理大纲、统计报表、监理实施细则、监理报告)</t>
  </si>
  <si>
    <t>对外提供标准接口，根据派单ID、文件类型、版本信息查询历史版本具体报表明细内容(监理大纲、统计报表、监理实施细则、监理报告)</t>
  </si>
  <si>
    <t>对外提供标准接口，根据项目ID、派单ID(非必传)查询录入细则必选表单报表详情(编制说明、主要参数、监理依据、控制要点)</t>
  </si>
  <si>
    <t>对外提供标准接口，根据项目ID、派单ID(非必传)查询历史与有效交底明细数据</t>
  </si>
  <si>
    <t>对外提供标准接口，根据项目ID、派单ID(非必传)查询人员交接明细数据</t>
  </si>
  <si>
    <t>对外提供标准接口，根据项目ID、派单ID(非必传)查询到岗明细数据</t>
  </si>
  <si>
    <t>对外提供标准接口，根据项目ID、派单ID(非必传)查询设备申请明细数据</t>
  </si>
  <si>
    <t>对外提供标准接口，根据项目ID、派单ID(非必传)查询监理大纲明细数据</t>
  </si>
  <si>
    <t>对外提供标准接口，根据项目ID、派单ID(非必传)查询日志与填报日期清单</t>
  </si>
  <si>
    <t>对外提供标准接口，根据项目ID、派单ID(非必传)查询整本监理实施细则填报的报表内容</t>
  </si>
  <si>
    <t>对外提供标准接口，根据项目ID、派单ID(非必传)查询整本监理报告填报的报表内容</t>
  </si>
  <si>
    <t>对外提供标准接口，根据项目ID、派单ID(非必传)查询监理总结各版本明细数据</t>
  </si>
  <si>
    <t>App三期需求汇总</t>
  </si>
  <si>
    <t>归属模块</t>
  </si>
  <si>
    <t>前端</t>
  </si>
  <si>
    <t>后端</t>
  </si>
  <si>
    <t>测试</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</si>
  <si>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</si>
  <si>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</si>
  <si>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</si>
  <si>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</si>
  <si>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</si>
  <si>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点击锁屏消息时可查看消息完整内容。若为PECMS流程待办通知则提供'去办理'按钮，点击按钮跳转对应业务流程的审批页面；若为PECMS派单审批通过/驳回消息则提供'去查看'按钮，点击按钮跳转至派单详情页面；若为安全平台培训通知消息，则提供'去学习'按钮，点击按钮跳转培训列表；若为安全平台考试通知消息，则提供'去考试'按钮，点击按钮跳转考试列表；若为综合管理平台的消息，则提供'去查看'按钮，点击按钮跳转综合管理平台主页面(不含泛微二开部分工作量)；其余类型的消息暂不提供按钮</t>
  </si>
  <si>
    <t>未定</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</si>
  <si>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</si>
  <si>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</si>
  <si>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</si>
  <si>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</si>
  <si>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</si>
  <si>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</si>
  <si>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地图人员实时菜单</t>
  </si>
  <si>
    <t>实时地图与全员打卡总览
业务目标
在现有监理人员打卡定位能力基础上，扩展为面向全员的实时地图监控能力，实现人员位置、打卡性质、出差流程、统计面板的统一展示与联动。并保留现有搜索功能，以适应新的列表数据。
功能范围
1.实时地图用于展示全员打卡相关信息，至少包括：
o监理人员打卡
o外勤人员打卡
o本部人员打卡
2.地图标点按基础打卡类型区分展示方式；出差状态作为附加属性展示，不替代基础类型。
3.若人员存在有效出差申请，地图标点需增加出差标识。
4.点击地图标点后：
o展示当前打卡人员的当前位置明细
o外勤人员展示打卡备注
o出差/外勤人员展示关联流程表单内容
5.页面底部提供与地图联动的人员统计与明细列表，默认展示全部人员。
6.地图标点、统计数字、底部明细表三者必须保持口径一致。
权限规则
1.新增“地图查看管理员”权限。
2.区域经理仅可查看自己管辖人员的地图打卡信息。
3.除区域经理外，其余有权限角色默认可查看全员打卡信息。
统计规则
1.统计口径默认包含全部人员。
2.统计项至少包括：应打卡人数、实际打卡人数、未打卡人数、请假人数、出差人数。
3.正式、方胜、劳务统一统计，不做单独拆分。
4.技术服务人员不纳入该实时地图展示范围。
数据规则
1.出差信息作为打卡记录的附属属性关联，不与派单并列统计。
2.系统初始视图默认为“全部人员、全口径统计、全量地图标点”。
3.相关页面效果可参考现有 html 原型。</t>
  </si>
  <si>
    <t>1.正式+方胜+劳务放在一起统计不区分；
2.技术服务不在安全管理实时地图中体现。
3.增加个出差人员的统计。</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</si>
  <si>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</si>
  <si>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泛微考勤数据通过接口、定时任务同步至pecms平台(不含泛微二开部分工作量)</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</si>
  <si>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</si>
  <si>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</si>
  <si>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</si>
  <si>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需求名称
执行部人员动态台账
业务目标
以执行部当前线下在线文档为对标对象，在安全平台建设可替代表格操作的动态台账能力，最终取消线下表格。
数据来源与归属
1.业务基础数据来源于 PECMS。
2.数据需同步或归集到安全平台后再进行业务操作。
3.安全平台上的编辑结果不得反写或影响 PECMS 原始数据。
4.若安全平台存在覆盖记录，展示时以安全平台记录为准。
功能要求
1.页面应覆盖执行部当前用于管理各派单执行情况的核心台账场景。
2.列表中所有展示字段均需支持作为筛选条件。
3.页面右侧图内标记信息支持在安全管理中直接修改。
4.以下字段支持在安全平台内编辑：
o派单状态（执行状态）
o实际开始时间
o预计完工时间
权限要求
1.数据操作权限统一收口至安全平台。
2.编辑行为仅作用于安全平台侧的业务台账。
功能补充说明
1.页面需提供“派单辅助人员变更”信息的查看入口。
2.通过该入口可查看派单辅助人员的历史变更记录信息。</t>
  </si>
  <si>
    <t>需求名称
培训考试中的人员性质管理
功能范围
1.在培训人员列表、考试人员列表中新增“人员性质”字段。
2.列表所有展示字段均支持作为搜索条件。
3.搜索框需按照列表字段进行条件补全。
4.新增“人员性质管理”功能，支持：
o创建人员性质
o批量为人员分配人员性质
o在用户管理中维护人员性质
页面影响范围
1.培训人员列表
2.考试人员列表
3.用户管理列表页
4.用户管理详情页
5.用户新增页
6.用户编辑页
7.人员性质专项管理页
业务规则
1.人员性质与人员之间为一对多关系：
o一个用户只能有一个人员性质
o一个人员性质可绑定多个用户
2.用户管理中的人员性质维护交互可参考现有“角色”或“部门选择”方式。</t>
  </si>
  <si>
    <t>需求名称
培训考试中的类型分类、权限分配与统计报表权限控制
功能范围
1.将考试/培训类型从当前单级字典升级为树形分类结构。
2.分类结构至少满足现阶段二级分类需求，并支持后续扩展到不限层级。
3.将考试/培训类型字典独立为单独配置模块。
4.增加“角色与考试/培训类型”的权限分配能力。
权限规则
1.管理员可查看全部类型及全部数据。
2.角色管理员仅可查看其被授权类型范围内的数据。
3.一个角色可管理多个一级类型。
4.安环部管理账号默认展示安环部对应分类下的全部内容，该规则支持配置。
5.统计报表需按管理账号分配查看权限，admin 账号默认可查看全部统计报表数据。
页面要求
1.考试管理页面和培训管理页面都需按角色权限过滤数据。
2.类型筛选控件改为树形下拉框。
3.选择某个类型后，默认展示该类型及其所有子级类型的数据。
4.若当前阶段仍保留一级/二级分类的单独展示需求，则树形结构需兼容按层级筛选。</t>
  </si>
  <si>
    <t>需求名称
培训考试中的完成时效与催办规则
功能要求
1.培训和考试任务都需增加完成倒计时能力。
2.倒计时单位按“天”计算。
3.对未完成人员发送邮件督促提醒时，邮件中需展示剩余天数。
4.倒计时结束后仍未完成的，系统自动判定为“不合格”并记录留痕。</t>
  </si>
  <si>
    <t>权限分配</t>
  </si>
  <si>
    <t>1、“统计报表”按照管理账号进行分配，admin账号查看全部
2、培训材料阅读页面“缩小”功能完善，现在只是针对放大后缩小回原来的大小
3、系统管理-“用户管理”增加部门、人员性质筛选
                    “通讯录”增加人员性质筛选</t>
  </si>
  <si>
    <t>经营分析与执行管理模块三期需求汇总(系统补充个说明，页面效果参考绘制的原型图)</t>
  </si>
  <si>
    <t>UI</t>
  </si>
  <si>
    <t>0.领导管理大屏</t>
  </si>
  <si>
    <t>0角色划分
汇聚底层所有模块数据，不进行不同角色的数据拆分，按需赋予菜单权限即可查看。</t>
  </si>
  <si>
    <t>1 核心财务统览指标
累计合同总额：实时汇总全库非终止状态合同金额总值。
当年累计确认产值：汇总当年全部已录入并确认的产值数据。
累计已开票总额：财务已录入系统的发票金额总和。
累计实际收款总额：财务复核已到账的收款金额总和。
综合平均利润率：根据动态成本核算模块生成加权利润占比，并附带环比/同比升跌红绿指示。</t>
  </si>
  <si>
    <t>2 客户（甲方）健康度漏斗图
分析维度：以"委托方"字段作为纵向主轴，聚合其名下的所有关联合同单据。
四级漏斗层级：
o【第1级 - 签约层】各甲方名下合同签约总额
o【第2级 - 产值层】已在系统录入并确认的总产值
o【第3级 - 开票层】已完成开票的总金额
o【第4级 - 实收层】实际已到账的收款金额
预警逻辑：自动识别并标红展示"开票转化率"或"回款到账率"严重低于正常水位的甲方客户名单。</t>
  </si>
  <si>
    <t>无法按照委托方统计</t>
  </si>
  <si>
    <t>3 经营资金流趋势剪刀差预警图
横坐标：过去连续 12 个自然月。
双轨对比曲线：
o【支出曲线】：累计真实已支付成本（人员薪资摊销+差旅+固定运营分摊）
o【入账曲线】：累计实际到账收款金额
剪刀差告警：当支出曲线上穿入账曲线形成倒挂时，该时间区间自动渲染高亮警戒填充色，提示资金链失血风险。</t>
  </si>
  <si>
    <t>4 风险雷达与穿透池
薄利/亏损区：专项展示净利润率触及字典预置底线（如 ≤3%）的项目(合同CI编号)清单。
应收逾期区：展示已开票但超过合同约定账期仍未收款的逾期项目(合同CI编号)清单。
执行预警区：联动执行管理模块，展示计划结束时间已过期的派单及负责人。
支持点击从大屏直接穿透到对应底单详情页面。</t>
  </si>
  <si>
    <t>5 产能闲置率网格
计算公式：在职人员总数 - 当前正在执行派单中的人员数 = 闲置人员数
成本透视：将闲置人员人数折算为当期隐性薪资耗损总额，标红展示在大屏中，辅助管理层盘活人力资源。</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</si>
  <si>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</si>
  <si>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</si>
  <si>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1.保留历史数据指在pecms保留还是在OM保留？
2.保留历史项目经理后，OM权限分配页面是否需要相应的历史查看功能</t>
  </si>
  <si>
    <r>
      <rPr>
        <sz val="11"/>
        <color theme="1"/>
        <rFont val="宋体"/>
        <charset val="134"/>
        <scheme val="minor"/>
      </rPr>
      <t xml:space="preserve">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
</t>
    </r>
    <r>
      <rPr>
        <sz val="11"/>
        <color rgb="FFC00000"/>
        <rFont val="宋体"/>
        <charset val="134"/>
        <scheme val="minor"/>
      </rPr>
      <t>增加开票提醒功能，发送邮件至项目经理邮箱
总价合同：合同结束后提醒，合同下所有派单都是结束状态才是合同的结束
开口合同：根据台账中的提醒周期，和单位，在适当时间进行提醒</t>
    </r>
  </si>
  <si>
    <r>
      <rPr>
        <sz val="11"/>
        <color theme="1"/>
        <rFont val="宋体"/>
        <charset val="134"/>
        <scheme val="minor"/>
      </rPr>
      <t xml:space="preserve">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
</t>
    </r>
    <r>
      <rPr>
        <sz val="11"/>
        <color rgb="FFC00000"/>
        <rFont val="宋体"/>
        <charset val="134"/>
        <scheme val="minor"/>
      </rPr>
      <t>"编辑"按钮：每个合同默认每月产值计算天数为26，增加编辑入口对合同的天数进行修改</t>
    </r>
  </si>
  <si>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</si>
  <si>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</si>
  <si>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</si>
  <si>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</si>
  <si>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r>
      <rPr>
        <sz val="11"/>
        <color theme="1"/>
        <rFont val="宋体"/>
        <charset val="134"/>
        <scheme val="minor"/>
      </rPr>
      <t>2.2 项目收入信息展示
以列表形式展示所有合同下项目收入的数据信息（仅含开口合同和总价合同，框架协议合同不显示）。
列表字段：合同编号、合同名称、委托方、项目经理、合同类型、合同金额、</t>
    </r>
    <r>
      <rPr>
        <sz val="11"/>
        <color rgb="FFC00000"/>
        <rFont val="宋体"/>
        <charset val="134"/>
        <scheme val="minor"/>
      </rPr>
      <t>出勤总产值、当月出勤产值</t>
    </r>
    <r>
      <rPr>
        <sz val="11"/>
        <color theme="1"/>
        <rFont val="宋体"/>
        <charset val="134"/>
        <scheme val="minor"/>
      </rPr>
      <t>、总产值(元)、当月计划产值(元/月)、已报产值、当月确认产值(元)、当月确认产值最新填报时间、当月收入最新纠正时间、已报收入、</t>
    </r>
    <r>
      <rPr>
        <sz val="11"/>
        <rFont val="宋体"/>
        <charset val="134"/>
        <scheme val="minor"/>
      </rPr>
      <t>纠正剩余额度</t>
    </r>
    <r>
      <rPr>
        <sz val="11"/>
        <color theme="1"/>
        <rFont val="宋体"/>
        <charset val="134"/>
        <scheme val="minor"/>
      </rPr>
      <t>（新增）、当月收入、开票状态、计划开票时间、未开票原因、最新开票时间、开票总金额(元)、最新收款时间、收款总金额(元)、备注。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r>
  </si>
  <si>
    <t>剩余纠正额度怎么计算</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</si>
  <si>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</si>
  <si>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r>
      <rPr>
        <sz val="11"/>
        <color theme="1"/>
        <rFont val="宋体"/>
        <charset val="134"/>
        <scheme val="minor"/>
      </rPr>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t>
    </r>
    <r>
      <rPr>
        <sz val="11"/>
        <color rgb="FFC00000"/>
        <rFont val="宋体"/>
        <charset val="134"/>
        <scheme val="minor"/>
      </rPr>
      <t>【出勤总产值规则】开口合同：出勤总产值=历史出勤产值和(不含当月)；总价合同：无
【当月出勤产值规则】总价合同：无；
开口合同：系统自动计算=固定天数×单价
固定天数为每月固定天数，计算天数的开始日期为派单实际开始日期；
增加是否排除法定节假日的开关，开启则固定天数=本月剩余天数-法定节假日，关闭则固定天数=本月剩余天数；例如派单实际开始时间为2026.3.15，开启排除开关，则固定天数为12；关闭开关则固定天数为16</t>
    </r>
    <r>
      <rPr>
        <sz val="11"/>
        <color theme="1"/>
        <rFont val="宋体"/>
        <charset val="134"/>
        <scheme val="minor"/>
      </rPr>
      <t xml:space="preserve">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r>
  </si>
  <si>
    <r>
      <rPr>
        <sz val="11"/>
        <color theme="1"/>
        <rFont val="宋体"/>
        <charset val="134"/>
        <scheme val="minor"/>
      </rPr>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t>
    </r>
    <r>
      <rPr>
        <strike/>
        <sz val="11"/>
        <color theme="9" tint="-0.25"/>
        <rFont val="宋体"/>
        <charset val="134"/>
        <scheme val="minor"/>
      </rPr>
      <t>编辑</t>
    </r>
    <r>
      <rPr>
        <sz val="11"/>
        <color theme="9" tint="-0.25"/>
        <rFont val="宋体"/>
        <charset val="134"/>
        <scheme val="minor"/>
      </rPr>
      <t>新增</t>
    </r>
    <r>
      <rPr>
        <sz val="11"/>
        <color theme="1"/>
        <rFont val="宋体"/>
        <charset val="134"/>
        <scheme val="minor"/>
      </rPr>
      <t>：计划开票时间、未开票原因、备注。
需生成历史记录，历史记录中支持查询和分页。
（4）预计回款填报
仅限</t>
    </r>
    <r>
      <rPr>
        <strike/>
        <sz val="11"/>
        <color theme="9" tint="-0.25"/>
        <rFont val="宋体"/>
        <charset val="134"/>
        <scheme val="minor"/>
      </rPr>
      <t>编辑</t>
    </r>
    <r>
      <rPr>
        <sz val="11"/>
        <color theme="9" tint="-0.25"/>
        <rFont val="宋体"/>
        <charset val="134"/>
        <scheme val="minor"/>
      </rPr>
      <t>新增</t>
    </r>
    <r>
      <rPr>
        <sz val="11"/>
        <color theme="1"/>
        <rFont val="宋体"/>
        <charset val="134"/>
        <scheme val="minor"/>
      </rPr>
      <t>：计划回款时间、计划回款金额、最新收款时间、收款总金额、备注。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t>
    </r>
    <r>
      <rPr>
        <sz val="11"/>
        <color theme="9" tint="-0.25"/>
        <rFont val="宋体"/>
        <charset val="134"/>
        <scheme val="minor"/>
      </rPr>
      <t>增加唯一编号字段展示(不可编辑)对于已填写的预计开票/回款数据，若无法按计划执行可进行数据修改，修改内容待补充，修改后触发审批流</t>
    </r>
    <r>
      <rPr>
        <sz val="11"/>
        <color theme="1"/>
        <rFont val="宋体"/>
        <charset val="134"/>
        <scheme val="minor"/>
      </rPr>
      <t xml:space="preserve">。右侧打造隐藏式抽屉（自带独立关闭销毁触发器），用于点击某一行后滑出展示动态细节。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
</t>
    </r>
    <r>
      <rPr>
        <sz val="11"/>
        <color rgb="FFC00000"/>
        <rFont val="宋体"/>
        <charset val="134"/>
        <scheme val="minor"/>
      </rPr>
      <t>（8）补录按钮：产值填报页面增加检查规则，若历史月份未填报产值，则提供补录按钮，可对合同产值进行填报</t>
    </r>
  </si>
  <si>
    <t>1.产值允许超过合同总额？
2.自动冲销？</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</si>
  <si>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</si>
  <si>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</si>
  <si>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</si>
  <si>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r>
      <rPr>
        <sz val="11"/>
        <color theme="1"/>
        <rFont val="宋体"/>
        <charset val="134"/>
        <scheme val="minor"/>
      </rPr>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t>
    </r>
    <r>
      <rPr>
        <sz val="11"/>
        <color rgb="FFC00000"/>
        <rFont val="宋体"/>
        <charset val="134"/>
        <scheme val="minor"/>
      </rPr>
      <t>或固定天数×单价</t>
    </r>
    <r>
      <rPr>
        <sz val="11"/>
        <color theme="1"/>
        <rFont val="宋体"/>
        <charset val="134"/>
        <scheme val="minor"/>
      </rPr>
      <t xml:space="preserve">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r>
  </si>
  <si>
    <t xml:space="preserve">1.派单状态变更具体需要监听哪些类型的变更？
</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</si>
  <si>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</si>
  <si>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导出按钮：绿色按钮，宽度80px，文字"导出"，点击后导出当前筛选结果（支持Excel格式）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</si>
  <si>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1.是否需要当前角色下拉框？
2.执行状态的超期如何计算</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</si>
  <si>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</si>
  <si>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</si>
  <si>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执行管理原定按派单维度展示数据，这里需要改成以合同为维度按方案A、B、C展示？</t>
  </si>
  <si>
    <t>增加每月按合同(CI编号)进行产值、成本数据的导入与录入，用于未上平台的合同参与产值与成本统计。对于有CI编号的情况，可按月录入产值与成本的结果数据。</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</si>
  <si>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</si>
  <si>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</si>
  <si>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</si>
  <si>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</si>
  <si>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</si>
  <si>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</si>
  <si>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</si>
  <si>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考勤异常的场景</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</si>
  <si>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</si>
  <si>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</si>
  <si>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</si>
  <si>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</si>
  <si>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1.当前角色下拉框内容为本功能支持的所有角色？
2.页面的列表数据来源于用户表？或来源于派单关联的辅助人员？</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</si>
  <si>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</si>
  <si>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</si>
  <si>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1.待派遣是什么状态的派单</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</si>
  <si>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</si>
  <si>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</si>
  <si>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</si>
  <si>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</si>
  <si>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</si>
  <si>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</si>
  <si>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</si>
  <si>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</si>
  <si>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</si>
  <si>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</si>
  <si>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</si>
  <si>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</si>
  <si>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1.本次回款与本次开票取最近一次回款与开票记录？</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</si>
  <si>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</si>
  <si>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r>
      <rPr>
        <sz val="11"/>
        <color theme="1"/>
        <rFont val="宋体"/>
        <charset val="134"/>
        <scheme val="minor"/>
      </rPr>
      <t xml:space="preserve">7.4 表头区域按钮
新增：1.弹框字段包含：合同编号（下拉，必填）、对方单位、项目（合同编号带出）、项目经理（合同编号带出）、回款金额、回款时间、回款凭证（支持 PDF/图片，支持多文件上传，自动压缩保证清晰度，无格式限制）、备注。
</t>
    </r>
    <r>
      <rPr>
        <sz val="11"/>
        <color theme="9" tint="-0.25"/>
        <rFont val="宋体"/>
        <charset val="134"/>
        <scheme val="minor"/>
      </rPr>
      <t>2.用户选择一个合同进行回款数据新增时，系统提供该合同已开票未冲抵的开票记录供用户选择(按开票日期升序排列)；填写回款金额时，自动勾选并冲抵开票列表中的金额，并记录冲抵发票信息；回款金额较大时，可由上至下勾选多个开票信息进行冲抵(遵循先进先出规则)</t>
    </r>
    <r>
      <rPr>
        <sz val="11"/>
        <color theme="1"/>
        <rFont val="宋体"/>
        <charset val="134"/>
        <scheme val="minor"/>
      </rPr>
      <t xml:space="preserve">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
</t>
    </r>
    <r>
      <rPr>
        <sz val="11"/>
        <color theme="9" tint="-0.25"/>
        <rFont val="宋体"/>
        <charset val="134"/>
        <scheme val="minor"/>
      </rPr>
      <t>导入：用户导入回款回款数据时，遵循先进先出原则自动冲抵开票数据。
查阅水单：查看本合同下所有回款明细记录</t>
    </r>
  </si>
  <si>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</si>
  <si>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</si>
  <si>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</si>
  <si>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</si>
  <si>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</si>
  <si>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</si>
  <si>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r>
      <rPr>
        <sz val="11"/>
        <color theme="1"/>
        <rFont val="宋体"/>
        <charset val="134"/>
        <scheme val="minor"/>
      </rPr>
      <t>8.4 表头按钮（已确认）
新增：弹框字段包含：类型（开票/回款）、合同类型、委托方、合同编号（下拉框选择）、超期时间（可配置天数阈值，到达阈值触发提醒）、提醒频率（单选，字典配置，可选项：每天/每周/每月/自定义天数）、状态（单选）、</t>
    </r>
    <r>
      <rPr>
        <sz val="11"/>
        <color theme="9" tint="-0.25"/>
        <rFont val="宋体"/>
        <charset val="134"/>
        <scheme val="minor"/>
      </rPr>
      <t>预警推送群组(来源于字典配置)、推送渠道(站内信-强制开启、工作邮箱、手机短信)</t>
    </r>
    <r>
      <rPr>
        <sz val="11"/>
        <color theme="1"/>
        <rFont val="宋体"/>
        <charset val="134"/>
        <scheme val="minor"/>
      </rPr>
      <t>。
o提醒频率天数做字典设置，支持后台新增/编辑/删除频率选项。
o弹窗按钮：取消（关闭）、保存（按设定进行定时提醒，推送通知至项目经理）。</t>
    </r>
  </si>
  <si>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</si>
  <si>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r>
      <rPr>
        <sz val="11"/>
        <color theme="1"/>
        <rFont val="宋体"/>
        <charset val="134"/>
        <scheme val="minor"/>
      </rPr>
      <t>8.6 提醒推送机制（已确认）
推送方式：优先采用邮件发送（用户更倾向邮件通知），同时支持站内（PC）消息推送。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t>
    </r>
    <r>
      <rPr>
        <sz val="11"/>
        <color theme="9" tint="-0.25"/>
        <rFont val="宋体"/>
        <charset val="134"/>
        <scheme val="minor"/>
      </rPr>
      <t>模板使用EL表达式占位；模板提供启用、停用功能，每个类型的消息仅允许启用一个模板</t>
    </r>
    <r>
      <rPr>
        <sz val="11"/>
        <color theme="1"/>
        <rFont val="宋体"/>
        <charset val="134"/>
        <scheme val="minor"/>
      </rPr>
      <t xml:space="preserve">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t>
    </r>
    <r>
      <rPr>
        <sz val="11"/>
        <color theme="9" tint="-0.25"/>
        <rFont val="宋体"/>
        <charset val="134"/>
        <scheme val="minor"/>
      </rPr>
      <t>(包含当前预警合同的派单明细以及每个派单的成本、产值数据)</t>
    </r>
    <r>
      <rPr>
        <sz val="11"/>
        <color theme="1"/>
        <rFont val="宋体"/>
        <charset val="134"/>
        <scheme val="minor"/>
      </rPr>
      <t>，方便收件人快速判断是哪个环节导致了预警。提醒频率可配置，持续预警时循环推送，用户可设置屏蔽。</t>
    </r>
  </si>
  <si>
    <t>增加项目经理每月固定填报产值时间、预计开票、预计回款的填报时间和入口，按照填写的时间检查项目经理每月是否填报了产值，未填报则按照设定的提醒规则发送消息提醒</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</si>
  <si>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</si>
  <si>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</si>
  <si>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r>
      <rPr>
        <sz val="11"/>
        <color theme="1"/>
        <rFont val="宋体"/>
        <charset val="134"/>
        <scheme val="minor"/>
      </rPr>
      <t xml:space="preserve">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t>
    </r>
    <r>
      <rPr>
        <sz val="11"/>
        <color rgb="FFC00000"/>
        <rFont val="宋体"/>
        <charset val="134"/>
        <scheme val="minor"/>
      </rPr>
      <t>正式员工、劳务派遣：</t>
    </r>
    <r>
      <rPr>
        <sz val="11"/>
        <color theme="1"/>
        <rFont val="宋体"/>
        <charset val="134"/>
        <scheme val="minor"/>
      </rPr>
      <t xml:space="preserve">
o个人成本 = 工时 × 单价
o若同时在N个派单：成本 = (工时÷N) × 单价
</t>
    </r>
    <r>
      <rPr>
        <sz val="11"/>
        <color rgb="FFC00000"/>
        <rFont val="宋体"/>
        <charset val="134"/>
        <scheme val="minor"/>
      </rPr>
      <t>技术服务：
o个人成本 = 工时 × 人员成本
o若同时在N个派单：成本 = (工时÷N) × 人员成本</t>
    </r>
    <r>
      <rPr>
        <sz val="11"/>
        <color theme="1"/>
        <rFont val="宋体"/>
        <charset val="134"/>
        <scheme val="minor"/>
      </rPr>
      <t xml:space="preserve">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r>
  </si>
  <si>
    <r>
      <rPr>
        <sz val="11"/>
        <color theme="1"/>
        <rFont val="宋体"/>
        <charset val="134"/>
        <scheme val="minor"/>
      </rPr>
      <t xml:space="preserve">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t>
    </r>
    <r>
      <rPr>
        <sz val="11"/>
        <color rgb="FFC00000"/>
        <rFont val="宋体"/>
        <charset val="134"/>
        <scheme val="minor"/>
      </rPr>
      <t>导入按钮：增加技术服务成本导入按钮，可以对当前合同的技术服务成本结果数据进行导入，</t>
    </r>
    <r>
      <rPr>
        <sz val="11"/>
        <color theme="1"/>
        <rFont val="宋体"/>
        <charset val="134"/>
        <scheme val="minor"/>
      </rPr>
      <t xml:space="preserve">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r>
  </si>
  <si>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</si>
  <si>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r>
      <rPr>
        <sz val="11"/>
        <color theme="1"/>
        <rFont val="宋体"/>
        <charset val="134"/>
        <scheme val="minor"/>
      </rPr>
      <t xml:space="preserve">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
</t>
    </r>
    <r>
      <rPr>
        <sz val="11"/>
        <color theme="9" tint="-0.25"/>
        <rFont val="宋体"/>
        <charset val="134"/>
        <scheme val="minor"/>
      </rPr>
      <t>(导入数据时，excel模板中提供用户ID相关字段，用于关联报销单与平台用户信息；提供WBS字段用于关联平台合同信息)</t>
    </r>
  </si>
  <si>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</si>
  <si>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</si>
  <si>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</si>
  <si>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</si>
  <si>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</si>
  <si>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</si>
  <si>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</si>
  <si>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</si>
  <si>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</si>
  <si>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</si>
  <si>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</si>
  <si>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r>
      <rPr>
        <sz val="11"/>
        <color theme="1"/>
        <rFont val="宋体"/>
        <charset val="134"/>
        <scheme val="minor"/>
      </rPr>
      <t>11.2 监理人员报表内容
以辅助人员为维度做报表数据量化,</t>
    </r>
    <r>
      <rPr>
        <sz val="11"/>
        <color theme="9" tint="-0.25"/>
        <rFont val="宋体"/>
        <charset val="134"/>
        <scheme val="minor"/>
      </rPr>
      <t>默认按监理人员统计全周期产值、成本、利润等数据，增加时间范围选择，可按时间范围进行数据统计。</t>
    </r>
    <r>
      <rPr>
        <sz val="11"/>
        <color theme="1"/>
        <rFont val="宋体"/>
        <charset val="134"/>
        <scheme val="minor"/>
      </rPr>
      <t xml:space="preserve">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r>
  </si>
  <si>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</si>
  <si>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r>
      <rPr>
        <sz val="11"/>
        <color theme="1"/>
        <rFont val="宋体"/>
        <charset val="134"/>
        <scheme val="minor"/>
      </rPr>
      <t>11.4 合同报表内容
以合同编号为维度做报表数据量化，</t>
    </r>
    <r>
      <rPr>
        <sz val="11"/>
        <color theme="9" tint="-0.25"/>
        <rFont val="宋体"/>
        <charset val="134"/>
        <scheme val="minor"/>
      </rPr>
      <t>默认按合同统计全周期产值、成本、利润等数据，增加时间范围选择，可按时间范围进行数据统计。</t>
    </r>
    <r>
      <rPr>
        <sz val="11"/>
        <color theme="1"/>
        <rFont val="宋体"/>
        <charset val="134"/>
        <scheme val="minor"/>
      </rPr>
      <t xml:space="preserve">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r>
  </si>
  <si>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</si>
  <si>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</si>
  <si>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1.上级ERP唯一标识和OM的用户关联关系是什么
2.一键急停后，默认的项目经理无法查看合同所有数据？</t>
  </si>
  <si>
    <t>13. 全局功能规范</t>
  </si>
  <si>
    <r>
      <rPr>
        <sz val="11"/>
        <color theme="1"/>
        <rFont val="宋体"/>
        <charset val="134"/>
        <scheme val="minor"/>
      </rPr>
      <t xml:space="preserve">导出：
格式：支持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
</t>
    </r>
    <r>
      <rPr>
        <sz val="11"/>
        <color theme="9" tint="-0.25"/>
        <rFont val="宋体"/>
        <charset val="134"/>
        <scheme val="minor"/>
      </rPr>
      <t>增加：可导出行数量、选中输出列数量、列全选按钮、列一键清空按钮</t>
    </r>
  </si>
  <si>
    <t>列设置：表格提供标准列设置功能，用户可自定义勾选需要展示的列，取消勾选则表格中不展示对应列。</t>
  </si>
  <si>
    <t>14. 科研经营月报</t>
  </si>
  <si>
    <t>14.1 支持角色
财务、管理员、领导层：可访问此菜单的角色，其他角色无此菜单入口
首次进入页面，需要选择时间区间，点击【加载月报】按钮</t>
  </si>
  <si>
    <r>
      <rPr>
        <sz val="11"/>
        <color theme="1"/>
        <rFont val="宋体"/>
        <charset val="134"/>
        <scheme val="minor"/>
      </rPr>
      <t xml:space="preserve">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
</t>
    </r>
    <r>
      <rPr>
        <sz val="11"/>
        <color theme="9" tint="-0.25"/>
        <rFont val="宋体"/>
        <charset val="134"/>
        <scheme val="minor"/>
      </rPr>
      <t>14.3付款约定-预付款、进度款、提货款、验收款、款到发货、质保金列默认为空，提供编辑、批量编辑按钮供用户进行数据填报。点击编辑按钮，可对当前行的数据进行编辑；点击批量编辑按钮可对当前表格中当前页的所有数据进行填报。记录每次填报历史情况，方便后续追溯。</t>
    </r>
  </si>
  <si>
    <r>
      <rPr>
        <sz val="11"/>
        <color theme="1"/>
        <rFont val="宋体"/>
        <charset val="134"/>
        <scheme val="minor"/>
      </rPr>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t>
    </r>
    <r>
      <rPr>
        <sz val="11"/>
        <color theme="9" tint="-0.25"/>
        <rFont val="宋体"/>
        <charset val="134"/>
        <scheme val="minor"/>
      </rPr>
      <t>(无数据，仅占位)</t>
    </r>
    <r>
      <rPr>
        <sz val="11"/>
        <color theme="1"/>
        <rFont val="宋体"/>
        <charset val="134"/>
        <scheme val="minor"/>
      </rPr>
      <t xml:space="preserve">
10 成本-人工费 成本构成：人工费</t>
    </r>
    <r>
      <rPr>
        <sz val="11"/>
        <color theme="9" tint="-0.25"/>
        <rFont val="宋体"/>
        <charset val="134"/>
        <scheme val="minor"/>
      </rPr>
      <t>(计算正式员工、劳务派遣、技术服务的所有人员成本。正式员工与劳务派遣按综合管理平台打卡与O&amp;M平台中工资计算成本，技术服务按pecms中供应商每月填报的工时与人员费用计算)</t>
    </r>
    <r>
      <rPr>
        <sz val="11"/>
        <color theme="1"/>
        <rFont val="宋体"/>
        <charset val="134"/>
        <scheme val="minor"/>
      </rPr>
      <t xml:space="preserve">
11 成本-制造费 成本构成：制造费</t>
    </r>
    <r>
      <rPr>
        <sz val="11"/>
        <color theme="9" tint="-0.25"/>
        <rFont val="宋体"/>
        <charset val="134"/>
        <scheme val="minor"/>
      </rPr>
      <t>(无数据，仅占位)</t>
    </r>
    <r>
      <rPr>
        <sz val="11"/>
        <color theme="1"/>
        <rFont val="宋体"/>
        <charset val="134"/>
        <scheme val="minor"/>
      </rPr>
      <t xml:space="preserve">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r>
  </si>
  <si>
    <t>14.4 页面顶部汇总行
参照月报Excel格式，在列表上方展示本次筛选时间区间的汇总指标：
本期合同额合计（元）
年初至本月累计合同额（元）
本期销售回款合计（元）
年初至本月累计回款（元）</t>
  </si>
  <si>
    <t>系统架构设计</t>
  </si>
  <si>
    <t>1.系统定位与边界
平台定性：本平台后续简称(O&amp;M)与 PECMS 平台为两套独立系统，互不共库。
技术框架：基于 RuoYi-Vue-Pro 前后端分离框架（含其内置可视化 BPMN 审批流引擎），建立独立的业务数据库。
用户与权限同步：
oO&amp;M 系统自身维护一套用户、角色与组织架构表。
o用户在 PECMS 完成登录后，由 PECMS 签发 token（有效期与 PECMS 登录保持一致），携带 token 访问 O&amp;M 系统，O&amp;M 服务对 token 进行鉴权后放行。O&amp;M 无独立登录入口，仅配合 PECMS 使用。
o当 PECMS 执行用户、角色、组织架构的增删改时，通过 API 接口调用方式，将变更数据同步写入 O&amp;M 对应的数据库表中，确保两端保持一致。
反向限制：O&amp;M 侧产生的数据（收入纠正记录、审批流历史、差旅工资等）绝对不会影响或写回 PECMS。</t>
  </si>
  <si>
    <t>2.数据隔离与同步机制
O&amp;M 自建业务库：包含合同表、派单表（简版）、人员工时表、收入表、成本表、各类明细流水及调整记录表。
核心数据来源于 PECMS 和 综合管理 推送，策略如下：
o基础台账（合同基础信息、项目组人员名单等）：每天定时拉取（全量+增量），或在 PECMS 新增合同时通过 API 主动推送给 O&amp;M。
o动态执行数据（打卡记录、派单状态变更）：采用 Binlog 变更数据捕获工具（如阿里 Canal、Debezium 或开源 MQ），PECMS 中有数据变动时，O&amp;M 监听消息并实时写入自己的库，不耗费 PECMS 的直接性能。
只读原则：由 PECMS 和 综合管理 产生的数据（打卡时间、计划开始/结束时间、派单基础信息），在 O&amp;M 系统中绝对只读，不支持从 O&amp;M 端逆向修改。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</si>
</sst>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宋体"/>
      <charset val="134"/>
      <scheme val="minor"/>
    </font>
    <font>
      <b/>
      <sz val="20"/>
      <color theme="1"/>
      <name val="宋体"/>
      <charset val="134"/>
      <scheme val="minor"/>
    </font>
    <font>
      <b/>
      <sz val="11"/>
      <color theme="1"/>
      <name val="宋体"/>
      <charset val="134"/>
      <scheme val="minor"/>
    </font>
    <font>
      <sz val="11"/>
      <color theme="9" tint="-0.25"/>
      <name val="宋体"/>
      <charset val="134"/>
      <scheme val="minor"/>
    </font>
    <font>
      <strike/>
      <sz val="11"/>
      <color theme="9" tint="-0.25"/>
      <name val="宋体"/>
      <charset val="134"/>
      <scheme val="minor"/>
    </font>
    <font>
      <sz val="11"/>
      <color rgb="FFC00000"/>
      <name val="宋体"/>
      <charset val="134"/>
      <scheme val="minor"/>
    </font>
    <font>
      <b/>
      <sz val="26"/>
      <color theme="1"/>
      <name val="宋体"/>
      <charset val="134"/>
      <scheme val="minor"/>
    </font>
    <font>
      <b/>
      <sz val="16"/>
      <color theme="1"/>
      <name val="宋体"/>
      <charset val="134"/>
      <scheme val="minor"/>
    </font>
    <font>
      <sz val="11"/>
      <color rgb="FFFF0000"/>
      <name val="宋体"/>
      <charset val="134"/>
      <scheme val="minor"/>
    </font>
    <font>
      <b/>
      <sz val="22"/>
      <color theme="1"/>
      <name val="宋体"/>
      <charset val="134"/>
      <scheme val="minor"/>
    </font>
    <font>
      <b/>
      <sz val="24"/>
      <color theme="1"/>
      <name val="宋体"/>
      <charset val="134"/>
      <scheme val="minor"/>
    </font>
    <font>
      <b/>
      <sz val="18"/>
      <color theme="1"/>
      <name val="宋体"/>
      <charset val="134"/>
      <scheme val="minor"/>
    </font>
    <font>
      <strike/>
      <sz val="11"/>
      <color theme="1"/>
      <name val="宋体"/>
      <charset val="134"/>
      <scheme val="minor"/>
    </font>
    <font>
      <b/>
      <sz val="12"/>
      <color theme="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rgb="FFFF0000"/>
      <name val="宋体"/>
      <charset val="134"/>
      <scheme val="minor"/>
    </font>
    <font>
      <sz val="11"/>
      <name val="宋体"/>
      <charset val="134"/>
      <scheme val="minor"/>
    </font>
  </fonts>
  <fills count="3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6" borderId="19" applyNumberFormat="0" applyAlignment="0" applyProtection="0">
      <alignment vertical="center"/>
    </xf>
    <xf numFmtId="0" fontId="24" fillId="7" borderId="20" applyNumberFormat="0" applyAlignment="0" applyProtection="0">
      <alignment vertical="center"/>
    </xf>
    <xf numFmtId="0" fontId="25" fillId="7" borderId="19" applyNumberFormat="0" applyAlignment="0" applyProtection="0">
      <alignment vertical="center"/>
    </xf>
    <xf numFmtId="0" fontId="26" fillId="8"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2"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143">
    <xf numFmtId="0" fontId="0" fillId="0" borderId="0" xfId="0">
      <alignment vertical="center"/>
    </xf>
    <xf numFmtId="0" fontId="0" fillId="0" borderId="0" xfId="0" applyBorder="1" applyAlignment="1"/>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0" xfId="0" applyBorder="1">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0" fillId="2"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2" fillId="0" borderId="9" xfId="0" applyFont="1" applyFill="1" applyBorder="1" applyAlignment="1">
      <alignment horizontal="center" vertical="center" wrapText="1"/>
    </xf>
    <xf numFmtId="0" fontId="2" fillId="0" borderId="11"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0" fillId="0" borderId="9"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0" fillId="0" borderId="9" xfId="0" applyFont="1" applyFill="1" applyBorder="1" applyAlignment="1">
      <alignment horizontal="left" vertical="center" wrapText="1"/>
    </xf>
    <xf numFmtId="0" fontId="0" fillId="0" borderId="9" xfId="0" applyFont="1" applyFill="1" applyBorder="1" applyAlignment="1">
      <alignment horizontal="right" vertical="center" wrapText="1"/>
    </xf>
    <xf numFmtId="0" fontId="4" fillId="0" borderId="11"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3" xfId="0" applyFont="1" applyFill="1" applyBorder="1" applyAlignment="1">
      <alignment horizontal="left" vertical="center" wrapText="1"/>
    </xf>
    <xf numFmtId="0" fontId="0" fillId="0" borderId="9" xfId="0" applyFill="1" applyBorder="1" applyAlignment="1">
      <alignment horizontal="left" vertical="center"/>
    </xf>
    <xf numFmtId="0" fontId="0" fillId="0" borderId="9" xfId="0" applyFont="1" applyBorder="1" applyAlignment="1">
      <alignment horizontal="left" vertical="center"/>
    </xf>
    <xf numFmtId="0" fontId="0" fillId="0" borderId="9" xfId="0" applyFont="1" applyBorder="1" applyAlignment="1">
      <alignment horizontal="right" vertical="center"/>
    </xf>
    <xf numFmtId="0" fontId="0" fillId="0" borderId="9" xfId="0" applyBorder="1">
      <alignment vertical="center"/>
    </xf>
    <xf numFmtId="0" fontId="0" fillId="0" borderId="9" xfId="0" applyBorder="1" applyAlignment="1">
      <alignment horizontal="center" vertical="center"/>
    </xf>
    <xf numFmtId="0" fontId="0" fillId="0" borderId="9" xfId="0" applyFont="1" applyFill="1" applyBorder="1" applyAlignment="1">
      <alignment horizontal="left" vertical="center"/>
    </xf>
    <xf numFmtId="0" fontId="0" fillId="0" borderId="9" xfId="0" applyFont="1" applyFill="1" applyBorder="1" applyAlignment="1">
      <alignment horizontal="right" vertical="center"/>
    </xf>
    <xf numFmtId="0" fontId="0" fillId="0" borderId="9" xfId="0" applyFill="1" applyBorder="1" applyAlignment="1">
      <alignment vertical="center"/>
    </xf>
    <xf numFmtId="0" fontId="0" fillId="0" borderId="9" xfId="0" applyFill="1" applyBorder="1" applyAlignment="1">
      <alignment horizontal="center" vertical="center"/>
    </xf>
    <xf numFmtId="0" fontId="3" fillId="0" borderId="15" xfId="0" applyFont="1" applyFill="1" applyBorder="1" applyAlignment="1">
      <alignment horizontal="center" vertical="center" wrapText="1"/>
    </xf>
    <xf numFmtId="0" fontId="0" fillId="0" borderId="9" xfId="0" applyFill="1"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9" xfId="0" applyFont="1" applyBorder="1" applyAlignment="1">
      <alignment horizontal="left" vertical="center" wrapText="1"/>
    </xf>
    <xf numFmtId="0" fontId="0" fillId="0" borderId="10"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11" xfId="0" applyFont="1" applyBorder="1" applyAlignment="1">
      <alignment horizontal="left" vertical="center" wrapText="1"/>
    </xf>
    <xf numFmtId="0" fontId="5" fillId="0" borderId="13" xfId="0" applyFont="1" applyBorder="1" applyAlignment="1">
      <alignment horizontal="left" vertical="center" wrapText="1"/>
    </xf>
    <xf numFmtId="0" fontId="0" fillId="0" borderId="9" xfId="0" applyBorder="1" applyAlignment="1">
      <alignment horizontal="center" vertical="center" wrapText="1"/>
    </xf>
    <xf numFmtId="0" fontId="5" fillId="0" borderId="12" xfId="0" applyFont="1" applyBorder="1" applyAlignment="1">
      <alignment horizontal="left" vertical="center" wrapText="1"/>
    </xf>
    <xf numFmtId="0" fontId="5" fillId="0" borderId="9" xfId="0" applyFont="1" applyBorder="1" applyAlignment="1">
      <alignment horizontal="left" vertical="center" wrapText="1"/>
    </xf>
    <xf numFmtId="0" fontId="0" fillId="0" borderId="10" xfId="0" applyBorder="1" applyAlignment="1">
      <alignment horizontal="right" vertical="center"/>
    </xf>
    <xf numFmtId="0" fontId="0" fillId="0" borderId="10" xfId="0" applyFill="1" applyBorder="1" applyAlignment="1">
      <alignment horizontal="right" vertical="center"/>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0" fillId="0" borderId="15" xfId="0" applyBorder="1" applyAlignment="1">
      <alignment horizontal="right" vertical="center"/>
    </xf>
    <xf numFmtId="0" fontId="0" fillId="0" borderId="15" xfId="0" applyFill="1" applyBorder="1" applyAlignment="1">
      <alignment horizontal="right" vertical="center"/>
    </xf>
    <xf numFmtId="0" fontId="0" fillId="0" borderId="9" xfId="0" applyBorder="1" applyAlignment="1">
      <alignment horizontal="right"/>
    </xf>
    <xf numFmtId="0" fontId="0" fillId="0" borderId="9" xfId="0" applyBorder="1" applyAlignment="1">
      <alignment horizontal="left"/>
    </xf>
    <xf numFmtId="0" fontId="0" fillId="0" borderId="9" xfId="0" applyBorder="1" applyAlignment="1"/>
    <xf numFmtId="0" fontId="0" fillId="0" borderId="9" xfId="0" applyFont="1" applyFill="1" applyBorder="1" applyAlignment="1">
      <alignment horizontal="left"/>
    </xf>
    <xf numFmtId="0" fontId="0" fillId="0" borderId="9" xfId="0" applyFont="1" applyFill="1" applyBorder="1" applyAlignment="1"/>
    <xf numFmtId="0" fontId="0" fillId="0" borderId="9" xfId="0" applyFill="1" applyBorder="1" applyAlignment="1"/>
    <xf numFmtId="0" fontId="0" fillId="0" borderId="9" xfId="0" applyBorder="1" applyAlignment="1">
      <alignment horizontal="right" vertical="center"/>
    </xf>
    <xf numFmtId="0" fontId="0" fillId="0" borderId="9" xfId="0" applyFill="1" applyBorder="1" applyAlignment="1">
      <alignment horizontal="right" vertical="center"/>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6"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vertical="center" wrapText="1"/>
    </xf>
    <xf numFmtId="0" fontId="8" fillId="0" borderId="9" xfId="0" applyFont="1" applyBorder="1" applyAlignment="1">
      <alignment horizontal="left" vertical="center" wrapText="1"/>
    </xf>
    <xf numFmtId="0" fontId="0" fillId="0" borderId="11" xfId="0" applyBorder="1" applyAlignment="1">
      <alignment horizontal="right" vertical="center" wrapText="1"/>
    </xf>
    <xf numFmtId="0" fontId="0" fillId="0" borderId="12" xfId="0" applyBorder="1" applyAlignment="1">
      <alignment horizontal="right" vertical="center" wrapText="1"/>
    </xf>
    <xf numFmtId="0" fontId="0" fillId="0" borderId="13" xfId="0" applyBorder="1" applyAlignment="1">
      <alignment horizontal="right" vertical="center" wrapText="1"/>
    </xf>
    <xf numFmtId="0" fontId="0" fillId="0" borderId="11" xfId="0" applyBorder="1" applyAlignment="1">
      <alignment horizontal="right" vertical="center"/>
    </xf>
    <xf numFmtId="0" fontId="0" fillId="0" borderId="12" xfId="0" applyBorder="1" applyAlignment="1">
      <alignment horizontal="right" vertical="center"/>
    </xf>
    <xf numFmtId="0" fontId="0" fillId="0" borderId="13" xfId="0" applyBorder="1" applyAlignment="1">
      <alignment horizontal="right"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0" fillId="0" borderId="11" xfId="0" applyBorder="1" applyAlignment="1">
      <alignment horizontal="center" vertical="center"/>
    </xf>
    <xf numFmtId="0" fontId="0" fillId="0" borderId="13" xfId="0" applyBorder="1" applyAlignment="1">
      <alignment horizontal="center" vertical="center"/>
    </xf>
    <xf numFmtId="0" fontId="5" fillId="0" borderId="9" xfId="0" applyFont="1" applyBorder="1" applyAlignment="1">
      <alignment horizontal="left" vertical="center"/>
    </xf>
    <xf numFmtId="0" fontId="10" fillId="2" borderId="9"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9" xfId="0" applyFont="1" applyFill="1" applyBorder="1" applyAlignment="1">
      <alignment horizontal="left" vertical="center" wrapText="1"/>
    </xf>
    <xf numFmtId="0" fontId="11" fillId="2" borderId="9" xfId="0" applyFont="1" applyFill="1" applyBorder="1" applyAlignment="1">
      <alignment horizontal="center" vertical="center"/>
    </xf>
    <xf numFmtId="0" fontId="11" fillId="2" borderId="9" xfId="0" applyFont="1" applyFill="1" applyBorder="1" applyAlignment="1">
      <alignment vertical="center" wrapText="1"/>
    </xf>
    <xf numFmtId="0" fontId="0" fillId="0" borderId="14" xfId="0" applyBorder="1" applyAlignment="1">
      <alignment horizontal="center" vertical="center" wrapText="1"/>
    </xf>
    <xf numFmtId="0" fontId="0" fillId="0" borderId="9" xfId="0" applyFont="1" applyBorder="1" applyAlignment="1">
      <alignmen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1" xfId="0" applyFont="1" applyBorder="1" applyAlignment="1">
      <alignment horizontal="left" vertical="center" wrapText="1"/>
    </xf>
    <xf numFmtId="0" fontId="8" fillId="0" borderId="9" xfId="0" applyFont="1" applyBorder="1" applyAlignment="1">
      <alignment vertical="center" wrapText="1"/>
    </xf>
    <xf numFmtId="0" fontId="0" fillId="3" borderId="9" xfId="0" applyFill="1" applyBorder="1">
      <alignment vertical="center"/>
    </xf>
    <xf numFmtId="0" fontId="0" fillId="3" borderId="9" xfId="0" applyFill="1" applyBorder="1" applyAlignment="1">
      <alignment horizontal="right" vertical="center"/>
    </xf>
    <xf numFmtId="0" fontId="0" fillId="0" borderId="14" xfId="0" applyBorder="1" applyAlignment="1">
      <alignment horizontal="right" vertical="center"/>
    </xf>
    <xf numFmtId="0" fontId="12" fillId="0" borderId="9" xfId="0" applyFont="1" applyBorder="1" applyAlignment="1">
      <alignment horizontal="center" vertical="center" wrapText="1"/>
    </xf>
    <xf numFmtId="0" fontId="0" fillId="0" borderId="9" xfId="0" applyFill="1" applyBorder="1" applyAlignment="1">
      <alignment horizontal="center" vertical="center" wrapText="1"/>
    </xf>
    <xf numFmtId="0" fontId="3" fillId="0" borderId="9" xfId="0" applyFont="1" applyFill="1" applyBorder="1" applyAlignment="1">
      <alignment horizontal="center" vertical="center" wrapText="1"/>
    </xf>
    <xf numFmtId="0" fontId="0" fillId="0" borderId="10" xfId="0"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3" xfId="0" applyFill="1" applyBorder="1" applyAlignment="1">
      <alignment horizontal="left" vertical="center" wrapText="1"/>
    </xf>
    <xf numFmtId="0" fontId="0" fillId="0" borderId="15" xfId="0" applyFill="1" applyBorder="1" applyAlignment="1">
      <alignment horizontal="center" vertical="center" wrapText="1"/>
    </xf>
    <xf numFmtId="0" fontId="0" fillId="0" borderId="9" xfId="0" applyBorder="1" applyAlignment="1">
      <alignment horizontal="right" vertical="center" wrapText="1"/>
    </xf>
    <xf numFmtId="0" fontId="0" fillId="0" borderId="0" xfId="0" applyAlignment="1">
      <alignment horizontal="center" vertical="center"/>
    </xf>
    <xf numFmtId="0" fontId="0" fillId="0" borderId="10" xfId="0" applyFill="1" applyBorder="1" applyAlignment="1">
      <alignment horizontal="center" vertical="center" wrapText="1"/>
    </xf>
    <xf numFmtId="0" fontId="0" fillId="0" borderId="9" xfId="0" applyBorder="1" applyAlignment="1">
      <alignment vertical="center"/>
    </xf>
    <xf numFmtId="0" fontId="0" fillId="0" borderId="14" xfId="0" applyFill="1" applyBorder="1" applyAlignment="1">
      <alignment horizontal="center" vertical="center" wrapText="1"/>
    </xf>
    <xf numFmtId="0" fontId="13" fillId="4" borderId="9" xfId="0" applyFont="1" applyFill="1" applyBorder="1" applyAlignment="1">
      <alignment horizontal="center" vertical="center"/>
    </xf>
    <xf numFmtId="0" fontId="2" fillId="0" borderId="9" xfId="0" applyFont="1" applyFill="1" applyBorder="1" applyAlignment="1">
      <alignment horizontal="center" vertical="center"/>
    </xf>
    <xf numFmtId="0" fontId="13" fillId="0" borderId="9" xfId="0" applyFont="1" applyFill="1" applyBorder="1" applyAlignment="1">
      <alignment horizontal="center" vertical="center"/>
    </xf>
    <xf numFmtId="0" fontId="0" fillId="0" borderId="11" xfId="0" applyFill="1" applyBorder="1" applyAlignment="1">
      <alignment horizontal="center" vertical="center"/>
    </xf>
    <xf numFmtId="0" fontId="0" fillId="0" borderId="13" xfId="0" applyFill="1" applyBorder="1" applyAlignment="1">
      <alignment horizontal="center" vertical="center"/>
    </xf>
    <xf numFmtId="0" fontId="0" fillId="0" borderId="10" xfId="0" applyFill="1" applyBorder="1" applyAlignment="1">
      <alignment horizontal="center" vertical="center"/>
    </xf>
    <xf numFmtId="0" fontId="13" fillId="0" borderId="10" xfId="0" applyFont="1" applyFill="1" applyBorder="1" applyAlignment="1">
      <alignment horizontal="center" vertical="center"/>
    </xf>
    <xf numFmtId="0" fontId="14" fillId="0" borderId="9"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137160</xdr:colOff>
      <xdr:row>7</xdr:row>
      <xdr:rowOff>134620</xdr:rowOff>
    </xdr:from>
    <xdr:to>
      <xdr:col>4</xdr:col>
      <xdr:colOff>1249680</xdr:colOff>
      <xdr:row>28</xdr:row>
      <xdr:rowOff>50165</xdr:rowOff>
    </xdr:to>
    <xdr:pic>
      <xdr:nvPicPr>
        <xdr:cNvPr id="2" name="图片 1"/>
        <xdr:cNvPicPr>
          <a:picLocks noChangeAspect="1"/>
        </xdr:cNvPicPr>
      </xdr:nvPicPr>
      <xdr:blipFill>
        <a:blip r:embed="rId1"/>
        <a:stretch>
          <a:fillRect/>
        </a:stretch>
      </xdr:blipFill>
      <xdr:spPr>
        <a:xfrm>
          <a:off x="137160" y="2357120"/>
          <a:ext cx="9382760" cy="351599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9</xdr:col>
          <xdr:colOff>57150</xdr:colOff>
          <xdr:row>5</xdr:row>
          <xdr:rowOff>3321050</xdr:rowOff>
        </xdr:from>
        <xdr:to>
          <xdr:col>9</xdr:col>
          <xdr:colOff>1941830</xdr:colOff>
          <xdr:row>5</xdr:row>
          <xdr:rowOff>3786505</xdr:rowOff>
        </xdr:to>
        <xdr:sp>
          <xdr:nvSpPr>
            <xdr:cNvPr id="1026" name="Object 2" hidden="1">
              <a:extLst>
                <a:ext uri="{63B3BB69-23CF-44E3-9099-C40C66FF867C}">
                  <a14:compatExt spid="_x0000_s1026"/>
                </a:ext>
              </a:extLst>
            </xdr:cNvPr>
            <xdr:cNvSpPr/>
          </xdr:nvSpPr>
          <xdr:spPr>
            <a:xfrm>
              <a:off x="14425930" y="4743450"/>
              <a:ext cx="1884680" cy="465455"/>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zoomScale="85" zoomScaleNormal="85" workbookViewId="0">
      <selection activeCell="F17" sqref="F17"/>
    </sheetView>
  </sheetViews>
  <sheetFormatPr defaultColWidth="8.71666666666667" defaultRowHeight="13.5" outlineLevelCol="6"/>
  <cols>
    <col min="1" max="1" width="31.6333333333333" customWidth="1"/>
    <col min="2" max="6" width="25.6333333333333" customWidth="1"/>
  </cols>
  <sheetData>
    <row r="1" ht="25" customHeight="1" spans="1:7">
      <c r="A1" s="135" t="s">
        <v>0</v>
      </c>
      <c r="B1" s="135" t="s">
        <v>1</v>
      </c>
      <c r="C1" s="135" t="s">
        <v>2</v>
      </c>
      <c r="D1" s="135" t="s">
        <v>3</v>
      </c>
      <c r="E1" s="135" t="s">
        <v>4</v>
      </c>
      <c r="F1" s="135" t="s">
        <v>5</v>
      </c>
      <c r="G1" s="135" t="s">
        <v>6</v>
      </c>
    </row>
    <row r="2" ht="25" customHeight="1" spans="1:7">
      <c r="A2" s="136" t="s">
        <v>7</v>
      </c>
      <c r="B2" s="41">
        <v>135</v>
      </c>
      <c r="C2" s="41">
        <v>204</v>
      </c>
      <c r="D2" s="41"/>
      <c r="E2" s="41">
        <v>54</v>
      </c>
      <c r="F2" s="137">
        <v>393</v>
      </c>
      <c r="G2" s="137">
        <v>343</v>
      </c>
    </row>
    <row r="3" ht="25" customHeight="1" spans="1:7">
      <c r="A3" s="136" t="s">
        <v>8</v>
      </c>
      <c r="B3" s="138">
        <v>91</v>
      </c>
      <c r="C3" s="139"/>
      <c r="D3" s="41"/>
      <c r="E3" s="41"/>
      <c r="F3" s="137">
        <v>91</v>
      </c>
      <c r="G3" s="137">
        <v>71</v>
      </c>
    </row>
    <row r="4" ht="25" customHeight="1" spans="1:7">
      <c r="A4" s="136" t="s">
        <v>9</v>
      </c>
      <c r="B4" s="41">
        <v>19</v>
      </c>
      <c r="C4" s="41">
        <v>16</v>
      </c>
      <c r="D4" s="41"/>
      <c r="E4" s="41">
        <v>3</v>
      </c>
      <c r="F4" s="137">
        <v>38</v>
      </c>
      <c r="G4" s="137">
        <v>28</v>
      </c>
    </row>
    <row r="5" ht="25" customHeight="1" spans="1:7">
      <c r="A5" s="136" t="s">
        <v>10</v>
      </c>
      <c r="B5" s="41">
        <v>164</v>
      </c>
      <c r="C5" s="41">
        <v>284</v>
      </c>
      <c r="D5" s="41">
        <v>20</v>
      </c>
      <c r="E5" s="41">
        <v>72</v>
      </c>
      <c r="F5" s="137">
        <v>540</v>
      </c>
      <c r="G5" s="137">
        <v>450</v>
      </c>
    </row>
    <row r="6" ht="25" customHeight="1" spans="1:7">
      <c r="A6" s="136" t="s">
        <v>11</v>
      </c>
      <c r="B6" s="140">
        <v>22</v>
      </c>
      <c r="C6" s="140">
        <v>35</v>
      </c>
      <c r="D6" s="140"/>
      <c r="E6" s="140">
        <v>11</v>
      </c>
      <c r="F6" s="141">
        <v>68</v>
      </c>
      <c r="G6" s="137">
        <v>58</v>
      </c>
    </row>
    <row r="7" ht="25" customHeight="1" spans="1:7">
      <c r="A7" s="142" t="s">
        <v>12</v>
      </c>
      <c r="B7" s="142">
        <f>SUM(F2:F6)</f>
        <v>1130</v>
      </c>
      <c r="C7" s="142"/>
      <c r="D7" s="142"/>
      <c r="E7" s="142"/>
      <c r="F7" s="142"/>
      <c r="G7" s="137">
        <f>SUM(G2:G6)</f>
        <v>950</v>
      </c>
    </row>
    <row r="31" ht="14.25" spans="1:6">
      <c r="A31" s="135" t="s">
        <v>0</v>
      </c>
      <c r="B31" s="135" t="s">
        <v>1</v>
      </c>
      <c r="C31" s="135" t="s">
        <v>2</v>
      </c>
      <c r="D31" s="135" t="s">
        <v>3</v>
      </c>
      <c r="E31" s="135" t="s">
        <v>4</v>
      </c>
      <c r="F31" s="135" t="s">
        <v>5</v>
      </c>
    </row>
    <row r="32" ht="14.25" spans="1:6">
      <c r="A32" s="136" t="s">
        <v>7</v>
      </c>
      <c r="B32" s="41">
        <v>135</v>
      </c>
      <c r="C32" s="41">
        <v>204</v>
      </c>
      <c r="D32" s="41"/>
      <c r="E32" s="41">
        <v>54</v>
      </c>
      <c r="F32" s="137">
        <v>336</v>
      </c>
    </row>
    <row r="33" ht="14.25" spans="1:6">
      <c r="A33" s="136" t="s">
        <v>8</v>
      </c>
      <c r="B33" s="138">
        <v>91</v>
      </c>
      <c r="C33" s="139"/>
      <c r="D33" s="41"/>
      <c r="E33" s="41"/>
      <c r="F33" s="137">
        <v>73</v>
      </c>
    </row>
    <row r="34" ht="14.25" spans="1:6">
      <c r="A34" s="136" t="s">
        <v>9</v>
      </c>
      <c r="B34" s="41">
        <v>19</v>
      </c>
      <c r="C34" s="41">
        <v>16</v>
      </c>
      <c r="D34" s="41"/>
      <c r="E34" s="41">
        <v>3</v>
      </c>
      <c r="F34" s="137">
        <v>29</v>
      </c>
    </row>
    <row r="35" ht="14.25" spans="1:6">
      <c r="A35" s="136" t="s">
        <v>10</v>
      </c>
      <c r="B35" s="41">
        <v>164</v>
      </c>
      <c r="C35" s="41">
        <v>284</v>
      </c>
      <c r="D35" s="41">
        <v>20</v>
      </c>
      <c r="E35" s="41">
        <v>72</v>
      </c>
      <c r="F35" s="137">
        <v>290</v>
      </c>
    </row>
    <row r="36" ht="14.25" spans="1:6">
      <c r="A36" s="136" t="s">
        <v>11</v>
      </c>
      <c r="B36" s="140">
        <v>22</v>
      </c>
      <c r="C36" s="140">
        <v>35</v>
      </c>
      <c r="D36" s="140"/>
      <c r="E36" s="140">
        <v>11</v>
      </c>
      <c r="F36" s="141">
        <v>50</v>
      </c>
    </row>
    <row r="37" ht="18.75" spans="1:6">
      <c r="A37" s="142" t="s">
        <v>12</v>
      </c>
      <c r="B37" s="142">
        <f>SUM(F32:F36)</f>
        <v>778</v>
      </c>
      <c r="C37" s="142"/>
      <c r="D37" s="142"/>
      <c r="E37" s="142"/>
      <c r="F37" s="142"/>
    </row>
  </sheetData>
  <mergeCells count="4">
    <mergeCell ref="B3:C3"/>
    <mergeCell ref="B7:F7"/>
    <mergeCell ref="B33:C33"/>
    <mergeCell ref="B37:F37"/>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1"/>
  <sheetViews>
    <sheetView zoomScale="70" zoomScaleNormal="70" topLeftCell="C1" workbookViewId="0">
      <pane ySplit="5" topLeftCell="A9" activePane="bottomLeft" state="frozen"/>
      <selection/>
      <selection pane="bottomLeft" activeCell="A1" sqref="A1:R53"/>
    </sheetView>
  </sheetViews>
  <sheetFormatPr defaultColWidth="8.71666666666667" defaultRowHeight="13.5"/>
  <cols>
    <col min="1" max="1" width="15.3583333333333" style="71" customWidth="1"/>
    <col min="2" max="6" width="8.71666666666667" style="72"/>
    <col min="7" max="7" width="43.2583333333333" style="72" customWidth="1"/>
    <col min="8" max="12" width="8.71666666666667" style="73" customWidth="1"/>
    <col min="13" max="13" width="8.71666666666667" customWidth="1"/>
    <col min="14" max="14" width="49.9" style="73" customWidth="1"/>
    <col min="15" max="17" width="18.625" customWidth="1"/>
    <col min="18" max="18" width="21.625" customWidth="1"/>
  </cols>
  <sheetData>
    <row r="1" ht="31.5" customHeight="1" spans="1:24">
      <c r="A1" s="105" t="s">
        <v>13</v>
      </c>
      <c r="B1" s="105"/>
      <c r="C1" s="105"/>
      <c r="D1" s="105"/>
      <c r="E1" s="105"/>
      <c r="F1" s="105"/>
      <c r="G1" s="105"/>
      <c r="H1" s="105"/>
      <c r="I1" s="105"/>
      <c r="J1" s="105"/>
      <c r="K1" s="105"/>
      <c r="L1" s="105"/>
      <c r="M1" s="105"/>
      <c r="N1" s="105"/>
      <c r="O1" s="105" t="s">
        <v>14</v>
      </c>
      <c r="P1" s="105"/>
      <c r="Q1" s="105"/>
      <c r="R1" s="105" t="s">
        <v>15</v>
      </c>
      <c r="U1" s="105" t="s">
        <v>14</v>
      </c>
      <c r="V1" s="105"/>
      <c r="W1" s="105"/>
      <c r="X1" s="105" t="s">
        <v>15</v>
      </c>
    </row>
    <row r="2" spans="1:24">
      <c r="A2" s="105"/>
      <c r="B2" s="105"/>
      <c r="C2" s="105"/>
      <c r="D2" s="105"/>
      <c r="E2" s="105"/>
      <c r="F2" s="105"/>
      <c r="G2" s="105"/>
      <c r="H2" s="105"/>
      <c r="I2" s="105"/>
      <c r="J2" s="105"/>
      <c r="K2" s="105"/>
      <c r="L2" s="105"/>
      <c r="M2" s="105"/>
      <c r="N2" s="105"/>
      <c r="O2" s="105"/>
      <c r="P2" s="105"/>
      <c r="Q2" s="105"/>
      <c r="R2" s="105"/>
      <c r="U2" s="105"/>
      <c r="V2" s="105"/>
      <c r="W2" s="105"/>
      <c r="X2" s="105"/>
    </row>
    <row r="3" ht="31.5" customHeight="1" spans="1:24">
      <c r="A3" s="105"/>
      <c r="B3" s="105"/>
      <c r="C3" s="105"/>
      <c r="D3" s="105"/>
      <c r="E3" s="105"/>
      <c r="F3" s="105"/>
      <c r="G3" s="105"/>
      <c r="H3" s="105"/>
      <c r="I3" s="105"/>
      <c r="J3" s="105"/>
      <c r="K3" s="105"/>
      <c r="L3" s="105"/>
      <c r="M3" s="105"/>
      <c r="N3" s="105"/>
      <c r="O3" s="105"/>
      <c r="P3" s="105"/>
      <c r="Q3" s="105"/>
      <c r="R3" s="105"/>
      <c r="U3" s="105"/>
      <c r="V3" s="105"/>
      <c r="W3" s="105"/>
      <c r="X3" s="105"/>
    </row>
    <row r="4" spans="1:24">
      <c r="A4" s="105"/>
      <c r="B4" s="105"/>
      <c r="C4" s="105"/>
      <c r="D4" s="105"/>
      <c r="E4" s="105"/>
      <c r="F4" s="105"/>
      <c r="G4" s="105"/>
      <c r="H4" s="105"/>
      <c r="I4" s="105"/>
      <c r="J4" s="105"/>
      <c r="K4" s="105"/>
      <c r="L4" s="105"/>
      <c r="M4" s="105"/>
      <c r="N4" s="105"/>
      <c r="O4" s="105"/>
      <c r="P4" s="105"/>
      <c r="Q4" s="105"/>
      <c r="R4" s="105"/>
      <c r="U4" s="105"/>
      <c r="V4" s="105"/>
      <c r="W4" s="105"/>
      <c r="X4" s="105"/>
    </row>
    <row r="5" ht="90" spans="1:24">
      <c r="A5" s="106" t="s">
        <v>16</v>
      </c>
      <c r="B5" s="107" t="s">
        <v>17</v>
      </c>
      <c r="C5" s="107"/>
      <c r="D5" s="107"/>
      <c r="E5" s="107"/>
      <c r="F5" s="107"/>
      <c r="G5" s="107"/>
      <c r="H5" s="106" t="s">
        <v>18</v>
      </c>
      <c r="I5" s="106"/>
      <c r="J5" s="106" t="s">
        <v>19</v>
      </c>
      <c r="K5" s="106"/>
      <c r="L5" s="106" t="s">
        <v>20</v>
      </c>
      <c r="M5" s="108"/>
      <c r="N5" s="109" t="s">
        <v>21</v>
      </c>
      <c r="O5" s="109" t="s">
        <v>1</v>
      </c>
      <c r="P5" s="109" t="s">
        <v>2</v>
      </c>
      <c r="Q5" s="109" t="s">
        <v>4</v>
      </c>
      <c r="R5" s="109" t="s">
        <v>22</v>
      </c>
      <c r="U5" s="109" t="s">
        <v>1</v>
      </c>
      <c r="V5" s="109" t="s">
        <v>2</v>
      </c>
      <c r="W5" s="109" t="s">
        <v>4</v>
      </c>
      <c r="X5" s="109" t="s">
        <v>22</v>
      </c>
    </row>
    <row r="6" ht="108" customHeight="1" spans="1:24">
      <c r="A6" s="76" t="s">
        <v>23</v>
      </c>
      <c r="B6" s="44" t="s">
        <v>24</v>
      </c>
      <c r="C6" s="44"/>
      <c r="D6" s="44"/>
      <c r="E6" s="44"/>
      <c r="F6" s="44"/>
      <c r="G6" s="44"/>
      <c r="H6" s="52" t="s">
        <v>25</v>
      </c>
      <c r="I6" s="52"/>
      <c r="J6" s="52" t="s">
        <v>26</v>
      </c>
      <c r="K6" s="52"/>
      <c r="L6" s="52" t="s">
        <v>27</v>
      </c>
      <c r="M6" s="37"/>
      <c r="N6" s="80"/>
      <c r="O6" s="36">
        <v>5</v>
      </c>
      <c r="P6" s="36">
        <v>3</v>
      </c>
      <c r="Q6" s="68">
        <v>5</v>
      </c>
      <c r="R6" s="36">
        <v>2</v>
      </c>
      <c r="U6" s="36">
        <v>3</v>
      </c>
      <c r="V6" s="36">
        <v>3</v>
      </c>
      <c r="W6" s="68">
        <v>3</v>
      </c>
      <c r="X6" s="36">
        <v>2</v>
      </c>
    </row>
    <row r="7" ht="105" customHeight="1" spans="1:24">
      <c r="A7" s="110"/>
      <c r="B7" s="43" t="s">
        <v>28</v>
      </c>
      <c r="C7" s="43"/>
      <c r="D7" s="43"/>
      <c r="E7" s="43"/>
      <c r="F7" s="43"/>
      <c r="G7" s="43"/>
      <c r="H7" s="52" t="s">
        <v>29</v>
      </c>
      <c r="I7" s="52"/>
      <c r="J7" s="52" t="s">
        <v>26</v>
      </c>
      <c r="K7" s="52"/>
      <c r="L7" s="52" t="s">
        <v>27</v>
      </c>
      <c r="M7" s="37"/>
      <c r="N7" s="111" t="s">
        <v>30</v>
      </c>
      <c r="O7" s="36">
        <v>3</v>
      </c>
      <c r="P7" s="36">
        <v>5</v>
      </c>
      <c r="Q7" s="68"/>
      <c r="R7" s="36">
        <v>3</v>
      </c>
      <c r="U7" s="36">
        <v>2</v>
      </c>
      <c r="V7" s="36">
        <v>3</v>
      </c>
      <c r="W7" s="68"/>
      <c r="X7" s="36">
        <v>2</v>
      </c>
    </row>
    <row r="8" ht="75" customHeight="1" spans="1:24">
      <c r="A8" s="110"/>
      <c r="B8" s="44" t="s">
        <v>31</v>
      </c>
      <c r="C8" s="44"/>
      <c r="D8" s="44"/>
      <c r="E8" s="44"/>
      <c r="F8" s="44"/>
      <c r="G8" s="44"/>
      <c r="H8" s="52" t="s">
        <v>25</v>
      </c>
      <c r="I8" s="52"/>
      <c r="J8" s="52" t="s">
        <v>32</v>
      </c>
      <c r="K8" s="52"/>
      <c r="L8" s="52" t="s">
        <v>27</v>
      </c>
      <c r="M8" s="37"/>
      <c r="N8" s="80" t="s">
        <v>33</v>
      </c>
      <c r="O8" s="36">
        <v>3</v>
      </c>
      <c r="P8" s="36">
        <v>2</v>
      </c>
      <c r="Q8" s="68"/>
      <c r="R8" s="36">
        <v>2</v>
      </c>
      <c r="U8" s="36">
        <v>2</v>
      </c>
      <c r="V8" s="36">
        <v>2</v>
      </c>
      <c r="W8" s="68"/>
      <c r="X8" s="36">
        <v>2</v>
      </c>
    </row>
    <row r="9" ht="137" customHeight="1" spans="1:24">
      <c r="A9" s="110"/>
      <c r="B9" s="44" t="s">
        <v>34</v>
      </c>
      <c r="C9" s="44"/>
      <c r="D9" s="44"/>
      <c r="E9" s="44"/>
      <c r="F9" s="44"/>
      <c r="G9" s="44"/>
      <c r="H9" s="52" t="s">
        <v>35</v>
      </c>
      <c r="I9" s="52"/>
      <c r="J9" s="52" t="s">
        <v>32</v>
      </c>
      <c r="K9" s="52"/>
      <c r="L9" s="52" t="s">
        <v>14</v>
      </c>
      <c r="M9" s="37"/>
      <c r="N9" s="80"/>
      <c r="O9" s="36">
        <v>2</v>
      </c>
      <c r="P9" s="36">
        <v>5</v>
      </c>
      <c r="Q9" s="68"/>
      <c r="R9" s="36"/>
      <c r="U9" s="36">
        <v>2</v>
      </c>
      <c r="V9" s="36">
        <v>4</v>
      </c>
      <c r="W9" s="68"/>
      <c r="X9" s="36"/>
    </row>
    <row r="10" ht="69" customHeight="1" spans="1:24">
      <c r="A10" s="110"/>
      <c r="B10" s="112" t="s">
        <v>36</v>
      </c>
      <c r="C10" s="113"/>
      <c r="D10" s="113"/>
      <c r="E10" s="113"/>
      <c r="F10" s="113"/>
      <c r="G10" s="114"/>
      <c r="H10" s="78"/>
      <c r="I10" s="79"/>
      <c r="J10" s="78"/>
      <c r="K10" s="79"/>
      <c r="L10" s="52" t="s">
        <v>14</v>
      </c>
      <c r="M10" s="37"/>
      <c r="N10" s="80"/>
      <c r="O10" s="36">
        <v>3</v>
      </c>
      <c r="P10" s="36">
        <v>3</v>
      </c>
      <c r="Q10" s="55">
        <v>1</v>
      </c>
      <c r="R10" s="36"/>
      <c r="U10" s="36">
        <v>3</v>
      </c>
      <c r="V10" s="36">
        <v>4</v>
      </c>
      <c r="W10" s="55">
        <v>1</v>
      </c>
      <c r="X10" s="36"/>
    </row>
    <row r="11" ht="74" customHeight="1" spans="1:24">
      <c r="A11" s="110"/>
      <c r="B11" s="115" t="s">
        <v>37</v>
      </c>
      <c r="C11" s="113"/>
      <c r="D11" s="113"/>
      <c r="E11" s="113"/>
      <c r="F11" s="113"/>
      <c r="G11" s="114"/>
      <c r="H11" s="78"/>
      <c r="I11" s="79"/>
      <c r="J11" s="78"/>
      <c r="K11" s="79"/>
      <c r="L11" s="52" t="s">
        <v>14</v>
      </c>
      <c r="M11" s="37"/>
      <c r="N11" s="80"/>
      <c r="O11" s="36">
        <v>3</v>
      </c>
      <c r="P11" s="36">
        <v>2</v>
      </c>
      <c r="Q11" s="60"/>
      <c r="R11" s="36"/>
      <c r="U11" s="36">
        <v>3</v>
      </c>
      <c r="V11" s="36">
        <v>3</v>
      </c>
      <c r="W11" s="60"/>
      <c r="X11" s="36"/>
    </row>
    <row r="12" ht="74" customHeight="1" spans="1:24">
      <c r="A12" s="77"/>
      <c r="B12" s="50" t="s">
        <v>38</v>
      </c>
      <c r="C12" s="53"/>
      <c r="D12" s="53"/>
      <c r="E12" s="53"/>
      <c r="F12" s="53"/>
      <c r="G12" s="51"/>
      <c r="H12" s="78"/>
      <c r="I12" s="79"/>
      <c r="J12" s="78"/>
      <c r="K12" s="79"/>
      <c r="L12" s="52" t="s">
        <v>14</v>
      </c>
      <c r="M12" s="37"/>
      <c r="N12" s="80"/>
      <c r="O12" s="36">
        <v>0</v>
      </c>
      <c r="P12" s="36">
        <v>3</v>
      </c>
      <c r="Q12" s="60">
        <v>1</v>
      </c>
      <c r="R12" s="36"/>
      <c r="U12" s="36">
        <v>0</v>
      </c>
      <c r="V12" s="36">
        <v>2</v>
      </c>
      <c r="W12" s="60"/>
      <c r="X12" s="36"/>
    </row>
    <row r="13" ht="70" customHeight="1" spans="1:24">
      <c r="A13" s="52" t="s">
        <v>39</v>
      </c>
      <c r="B13" s="44" t="s">
        <v>40</v>
      </c>
      <c r="C13" s="44"/>
      <c r="D13" s="44"/>
      <c r="E13" s="44"/>
      <c r="F13" s="44"/>
      <c r="G13" s="44"/>
      <c r="H13" s="52" t="s">
        <v>35</v>
      </c>
      <c r="I13" s="52"/>
      <c r="J13" s="52" t="s">
        <v>32</v>
      </c>
      <c r="K13" s="52"/>
      <c r="L13" s="52" t="s">
        <v>27</v>
      </c>
      <c r="M13" s="37"/>
      <c r="N13" s="80"/>
      <c r="O13" s="36">
        <v>2</v>
      </c>
      <c r="P13" s="36">
        <v>1</v>
      </c>
      <c r="Q13" s="68">
        <v>1</v>
      </c>
      <c r="R13" s="36">
        <v>1</v>
      </c>
      <c r="U13" s="36">
        <v>1</v>
      </c>
      <c r="V13" s="36">
        <v>1</v>
      </c>
      <c r="W13" s="68">
        <v>0.5</v>
      </c>
      <c r="X13" s="36">
        <v>1</v>
      </c>
    </row>
    <row r="14" ht="183" customHeight="1" spans="1:24">
      <c r="A14" s="52" t="s">
        <v>41</v>
      </c>
      <c r="B14" s="43" t="s">
        <v>42</v>
      </c>
      <c r="C14" s="43"/>
      <c r="D14" s="43"/>
      <c r="E14" s="43"/>
      <c r="F14" s="43"/>
      <c r="G14" s="43"/>
      <c r="H14" s="52" t="s">
        <v>35</v>
      </c>
      <c r="I14" s="52"/>
      <c r="J14" s="52" t="s">
        <v>32</v>
      </c>
      <c r="K14" s="52"/>
      <c r="L14" s="52" t="s">
        <v>27</v>
      </c>
      <c r="M14" s="37"/>
      <c r="N14" s="116"/>
      <c r="O14" s="36">
        <v>3</v>
      </c>
      <c r="P14" s="36">
        <v>5</v>
      </c>
      <c r="Q14" s="68">
        <v>1</v>
      </c>
      <c r="R14" s="36">
        <v>3</v>
      </c>
      <c r="U14" s="36">
        <v>3</v>
      </c>
      <c r="V14" s="36">
        <v>4</v>
      </c>
      <c r="W14" s="68">
        <v>1</v>
      </c>
      <c r="X14" s="36">
        <v>2</v>
      </c>
    </row>
    <row r="15" ht="41" customHeight="1" spans="1:24">
      <c r="A15" s="52" t="s">
        <v>43</v>
      </c>
      <c r="B15" s="44" t="s">
        <v>44</v>
      </c>
      <c r="C15" s="44"/>
      <c r="D15" s="44"/>
      <c r="E15" s="44"/>
      <c r="F15" s="44"/>
      <c r="G15" s="44"/>
      <c r="H15" s="52" t="s">
        <v>45</v>
      </c>
      <c r="I15" s="52"/>
      <c r="J15" s="52" t="s">
        <v>26</v>
      </c>
      <c r="K15" s="52"/>
      <c r="L15" s="52" t="s">
        <v>27</v>
      </c>
      <c r="M15" s="37"/>
      <c r="N15" s="80"/>
      <c r="O15" s="36">
        <v>3</v>
      </c>
      <c r="P15" s="36">
        <v>2</v>
      </c>
      <c r="Q15" s="68">
        <v>1</v>
      </c>
      <c r="R15" s="55">
        <v>3</v>
      </c>
      <c r="U15" s="36">
        <v>2</v>
      </c>
      <c r="V15" s="36">
        <v>1</v>
      </c>
      <c r="W15" s="68">
        <v>1</v>
      </c>
      <c r="X15" s="55">
        <v>2</v>
      </c>
    </row>
    <row r="16" ht="42" customHeight="1" spans="1:24">
      <c r="A16" s="52"/>
      <c r="B16" s="44" t="s">
        <v>46</v>
      </c>
      <c r="C16" s="44"/>
      <c r="D16" s="44"/>
      <c r="E16" s="44"/>
      <c r="F16" s="44"/>
      <c r="G16" s="44"/>
      <c r="H16" s="52" t="s">
        <v>35</v>
      </c>
      <c r="I16" s="52"/>
      <c r="J16" s="52" t="s">
        <v>32</v>
      </c>
      <c r="K16" s="52"/>
      <c r="L16" s="52" t="s">
        <v>27</v>
      </c>
      <c r="M16" s="37"/>
      <c r="N16" s="80"/>
      <c r="O16" s="36">
        <v>1</v>
      </c>
      <c r="P16" s="36">
        <v>3</v>
      </c>
      <c r="Q16" s="68"/>
      <c r="R16" s="60"/>
      <c r="U16" s="36">
        <v>1</v>
      </c>
      <c r="V16" s="36">
        <v>1</v>
      </c>
      <c r="W16" s="68"/>
      <c r="X16" s="60"/>
    </row>
    <row r="17" ht="106" customHeight="1" spans="1:24">
      <c r="A17" s="76" t="s">
        <v>47</v>
      </c>
      <c r="B17" s="44" t="s">
        <v>48</v>
      </c>
      <c r="C17" s="44"/>
      <c r="D17" s="44"/>
      <c r="E17" s="44"/>
      <c r="F17" s="44"/>
      <c r="G17" s="44"/>
      <c r="H17" s="52" t="s">
        <v>35</v>
      </c>
      <c r="I17" s="52"/>
      <c r="J17" s="52" t="s">
        <v>32</v>
      </c>
      <c r="K17" s="52"/>
      <c r="L17" s="52" t="s">
        <v>27</v>
      </c>
      <c r="M17" s="37"/>
      <c r="N17" s="80"/>
      <c r="O17" s="36">
        <v>3</v>
      </c>
      <c r="P17" s="36">
        <v>3</v>
      </c>
      <c r="Q17" s="68">
        <v>1</v>
      </c>
      <c r="R17" s="36">
        <v>1</v>
      </c>
      <c r="U17" s="36">
        <v>2</v>
      </c>
      <c r="V17" s="36">
        <v>2</v>
      </c>
      <c r="W17" s="68">
        <v>0.5</v>
      </c>
      <c r="X17" s="36">
        <v>1</v>
      </c>
    </row>
    <row r="18" ht="346" customHeight="1" spans="1:24">
      <c r="A18" s="110"/>
      <c r="B18" s="26" t="s">
        <v>49</v>
      </c>
      <c r="C18" s="43"/>
      <c r="D18" s="43"/>
      <c r="E18" s="43"/>
      <c r="F18" s="43"/>
      <c r="G18" s="43"/>
      <c r="H18" s="52" t="s">
        <v>35</v>
      </c>
      <c r="I18" s="52"/>
      <c r="J18" s="52" t="s">
        <v>32</v>
      </c>
      <c r="K18" s="52"/>
      <c r="L18" s="52" t="s">
        <v>27</v>
      </c>
      <c r="M18" s="37"/>
      <c r="N18" s="80"/>
      <c r="O18" s="36">
        <v>8</v>
      </c>
      <c r="P18" s="36">
        <v>10</v>
      </c>
      <c r="Q18" s="68">
        <v>2</v>
      </c>
      <c r="R18" s="36">
        <v>5</v>
      </c>
      <c r="U18" s="117">
        <v>8</v>
      </c>
      <c r="V18" s="117">
        <v>8</v>
      </c>
      <c r="W18" s="118">
        <v>2</v>
      </c>
      <c r="X18" s="117">
        <v>4</v>
      </c>
    </row>
    <row r="19" ht="409" customHeight="1" spans="1:24">
      <c r="A19" s="110"/>
      <c r="B19" s="44" t="s">
        <v>50</v>
      </c>
      <c r="C19" s="44"/>
      <c r="D19" s="44"/>
      <c r="E19" s="44"/>
      <c r="F19" s="44"/>
      <c r="G19" s="44"/>
      <c r="H19" s="52" t="s">
        <v>35</v>
      </c>
      <c r="I19" s="52"/>
      <c r="J19" s="52" t="s">
        <v>32</v>
      </c>
      <c r="K19" s="52"/>
      <c r="L19" s="52" t="s">
        <v>27</v>
      </c>
      <c r="M19" s="37"/>
      <c r="N19" s="80" t="s">
        <v>51</v>
      </c>
      <c r="O19" s="36">
        <v>5</v>
      </c>
      <c r="P19" s="36">
        <v>5</v>
      </c>
      <c r="Q19" s="68">
        <v>1</v>
      </c>
      <c r="R19" s="36">
        <v>3</v>
      </c>
      <c r="U19" s="117">
        <v>8</v>
      </c>
      <c r="V19" s="117">
        <v>8</v>
      </c>
      <c r="W19" s="118">
        <v>2</v>
      </c>
      <c r="X19" s="117">
        <v>4</v>
      </c>
    </row>
    <row r="20" ht="38" customHeight="1" spans="1:24">
      <c r="A20" s="110"/>
      <c r="B20" s="44" t="s">
        <v>52</v>
      </c>
      <c r="C20" s="44"/>
      <c r="D20" s="44"/>
      <c r="E20" s="44"/>
      <c r="F20" s="44"/>
      <c r="G20" s="44"/>
      <c r="H20" s="52" t="s">
        <v>35</v>
      </c>
      <c r="I20" s="52"/>
      <c r="J20" s="52" t="s">
        <v>26</v>
      </c>
      <c r="K20" s="52"/>
      <c r="L20" s="52" t="s">
        <v>27</v>
      </c>
      <c r="M20" s="37"/>
      <c r="N20" s="80"/>
      <c r="O20" s="36">
        <v>1</v>
      </c>
      <c r="P20" s="36">
        <v>5</v>
      </c>
      <c r="Q20" s="68">
        <v>2</v>
      </c>
      <c r="R20" s="36">
        <v>2</v>
      </c>
      <c r="U20" s="117">
        <v>3</v>
      </c>
      <c r="V20" s="117">
        <v>3</v>
      </c>
      <c r="W20" s="118">
        <v>1</v>
      </c>
      <c r="X20" s="117">
        <v>2</v>
      </c>
    </row>
    <row r="21" ht="77" customHeight="1" spans="1:24">
      <c r="A21" s="110"/>
      <c r="B21" s="44" t="s">
        <v>53</v>
      </c>
      <c r="C21" s="44"/>
      <c r="D21" s="44"/>
      <c r="E21" s="44"/>
      <c r="F21" s="44"/>
      <c r="G21" s="44"/>
      <c r="H21" s="52" t="s">
        <v>45</v>
      </c>
      <c r="I21" s="52"/>
      <c r="J21" s="52" t="s">
        <v>32</v>
      </c>
      <c r="K21" s="52"/>
      <c r="L21" s="52" t="s">
        <v>27</v>
      </c>
      <c r="M21" s="37"/>
      <c r="N21" s="80"/>
      <c r="O21" s="36">
        <v>3</v>
      </c>
      <c r="P21" s="36">
        <v>6</v>
      </c>
      <c r="Q21" s="68">
        <v>1</v>
      </c>
      <c r="R21" s="36">
        <v>3</v>
      </c>
      <c r="U21" s="36">
        <v>3</v>
      </c>
      <c r="V21" s="36">
        <v>4</v>
      </c>
      <c r="W21" s="68">
        <v>1</v>
      </c>
      <c r="X21" s="36">
        <v>2</v>
      </c>
    </row>
    <row r="22" ht="34" customHeight="1" spans="1:24">
      <c r="A22" s="110"/>
      <c r="B22" s="44" t="s">
        <v>54</v>
      </c>
      <c r="C22" s="44"/>
      <c r="D22" s="44"/>
      <c r="E22" s="44"/>
      <c r="F22" s="44"/>
      <c r="G22" s="44"/>
      <c r="H22" s="52" t="s">
        <v>25</v>
      </c>
      <c r="I22" s="52"/>
      <c r="J22" s="52" t="s">
        <v>26</v>
      </c>
      <c r="K22" s="52"/>
      <c r="L22" s="52" t="s">
        <v>27</v>
      </c>
      <c r="M22" s="37"/>
      <c r="N22" s="80"/>
      <c r="O22" s="36">
        <v>5</v>
      </c>
      <c r="P22" s="36">
        <v>6</v>
      </c>
      <c r="Q22" s="68">
        <v>1</v>
      </c>
      <c r="R22" s="36">
        <v>5</v>
      </c>
      <c r="U22" s="117">
        <v>5</v>
      </c>
      <c r="V22" s="117">
        <v>6</v>
      </c>
      <c r="W22" s="118">
        <v>1</v>
      </c>
      <c r="X22" s="117">
        <v>5</v>
      </c>
    </row>
    <row r="23" ht="115" customHeight="1" spans="1:24">
      <c r="A23" s="110"/>
      <c r="B23" s="44" t="s">
        <v>55</v>
      </c>
      <c r="C23" s="44"/>
      <c r="D23" s="44"/>
      <c r="E23" s="44"/>
      <c r="F23" s="44"/>
      <c r="G23" s="44"/>
      <c r="H23" s="52" t="s">
        <v>56</v>
      </c>
      <c r="I23" s="52"/>
      <c r="J23" s="52" t="s">
        <v>26</v>
      </c>
      <c r="K23" s="52"/>
      <c r="L23" s="52" t="s">
        <v>27</v>
      </c>
      <c r="M23" s="37"/>
      <c r="N23" s="80"/>
      <c r="O23" s="36">
        <v>3</v>
      </c>
      <c r="P23" s="36">
        <v>10</v>
      </c>
      <c r="Q23" s="68">
        <v>2</v>
      </c>
      <c r="R23" s="36">
        <v>4</v>
      </c>
      <c r="U23" s="117">
        <v>3</v>
      </c>
      <c r="V23" s="117">
        <v>5</v>
      </c>
      <c r="W23" s="118">
        <v>2</v>
      </c>
      <c r="X23" s="117">
        <v>3</v>
      </c>
    </row>
    <row r="24" ht="100" customHeight="1" spans="1:24">
      <c r="A24" s="110"/>
      <c r="B24" s="44" t="s">
        <v>57</v>
      </c>
      <c r="C24" s="44"/>
      <c r="D24" s="44"/>
      <c r="E24" s="44"/>
      <c r="F24" s="44"/>
      <c r="G24" s="44"/>
      <c r="H24" s="52" t="s">
        <v>56</v>
      </c>
      <c r="I24" s="52"/>
      <c r="J24" s="52" t="s">
        <v>26</v>
      </c>
      <c r="K24" s="52"/>
      <c r="L24" s="52" t="s">
        <v>27</v>
      </c>
      <c r="M24" s="37"/>
      <c r="N24" s="80" t="s">
        <v>58</v>
      </c>
      <c r="O24" s="36">
        <v>2</v>
      </c>
      <c r="P24" s="36">
        <v>3</v>
      </c>
      <c r="Q24" s="68">
        <v>1</v>
      </c>
      <c r="R24" s="36">
        <v>2</v>
      </c>
      <c r="U24" s="36">
        <v>2</v>
      </c>
      <c r="V24" s="36">
        <v>2</v>
      </c>
      <c r="W24" s="68">
        <v>1</v>
      </c>
      <c r="X24" s="36">
        <v>1</v>
      </c>
    </row>
    <row r="25" ht="189" customHeight="1" spans="1:24">
      <c r="A25" s="110"/>
      <c r="B25" s="44" t="s">
        <v>59</v>
      </c>
      <c r="C25" s="44"/>
      <c r="D25" s="44"/>
      <c r="E25" s="44"/>
      <c r="F25" s="44"/>
      <c r="G25" s="44"/>
      <c r="H25" s="52" t="s">
        <v>35</v>
      </c>
      <c r="I25" s="52"/>
      <c r="J25" s="52" t="s">
        <v>32</v>
      </c>
      <c r="K25" s="52"/>
      <c r="L25" s="52" t="s">
        <v>27</v>
      </c>
      <c r="M25" s="37"/>
      <c r="N25" s="80" t="s">
        <v>58</v>
      </c>
      <c r="O25" s="36">
        <v>5</v>
      </c>
      <c r="P25" s="36">
        <v>5</v>
      </c>
      <c r="Q25" s="68">
        <v>5</v>
      </c>
      <c r="R25" s="36">
        <v>2</v>
      </c>
      <c r="U25" s="36">
        <v>4</v>
      </c>
      <c r="V25" s="36">
        <v>4</v>
      </c>
      <c r="W25" s="68">
        <v>4</v>
      </c>
      <c r="X25" s="36">
        <v>2</v>
      </c>
    </row>
    <row r="26" ht="184" customHeight="1" spans="1:24">
      <c r="A26" s="110"/>
      <c r="B26" s="44" t="s">
        <v>60</v>
      </c>
      <c r="C26" s="44"/>
      <c r="D26" s="44"/>
      <c r="E26" s="44"/>
      <c r="F26" s="44"/>
      <c r="G26" s="44"/>
      <c r="H26" s="52" t="s">
        <v>35</v>
      </c>
      <c r="I26" s="52"/>
      <c r="J26" s="52" t="s">
        <v>32</v>
      </c>
      <c r="K26" s="52"/>
      <c r="L26" s="52" t="s">
        <v>27</v>
      </c>
      <c r="M26" s="37"/>
      <c r="N26" s="80" t="s">
        <v>58</v>
      </c>
      <c r="O26" s="36">
        <v>5</v>
      </c>
      <c r="P26" s="36">
        <v>5</v>
      </c>
      <c r="Q26" s="68"/>
      <c r="R26" s="36">
        <v>2</v>
      </c>
      <c r="U26" s="36">
        <v>4</v>
      </c>
      <c r="V26" s="36">
        <v>4</v>
      </c>
      <c r="W26" s="68"/>
      <c r="X26" s="36">
        <v>2</v>
      </c>
    </row>
    <row r="27" ht="204" customHeight="1" spans="1:24">
      <c r="A27" s="110"/>
      <c r="B27" s="44" t="s">
        <v>61</v>
      </c>
      <c r="C27" s="44"/>
      <c r="D27" s="44"/>
      <c r="E27" s="44"/>
      <c r="F27" s="44"/>
      <c r="G27" s="44"/>
      <c r="H27" s="52" t="s">
        <v>35</v>
      </c>
      <c r="I27" s="52"/>
      <c r="J27" s="52" t="s">
        <v>32</v>
      </c>
      <c r="K27" s="52"/>
      <c r="L27" s="52" t="s">
        <v>27</v>
      </c>
      <c r="M27" s="37"/>
      <c r="N27" s="80" t="s">
        <v>58</v>
      </c>
      <c r="O27" s="36">
        <v>5</v>
      </c>
      <c r="P27" s="36">
        <v>5</v>
      </c>
      <c r="Q27" s="68"/>
      <c r="R27" s="36">
        <v>2</v>
      </c>
      <c r="U27" s="36">
        <v>4</v>
      </c>
      <c r="V27" s="36">
        <v>4</v>
      </c>
      <c r="W27" s="68"/>
      <c r="X27" s="36">
        <v>2</v>
      </c>
    </row>
    <row r="28" ht="68" customHeight="1" spans="1:24">
      <c r="A28" s="77"/>
      <c r="B28" s="50" t="s">
        <v>62</v>
      </c>
      <c r="C28" s="53"/>
      <c r="D28" s="53"/>
      <c r="E28" s="53"/>
      <c r="F28" s="53"/>
      <c r="G28" s="51"/>
      <c r="H28" s="78"/>
      <c r="I28" s="79"/>
      <c r="J28" s="78"/>
      <c r="K28" s="79"/>
      <c r="L28" s="52" t="s">
        <v>27</v>
      </c>
      <c r="M28" s="37"/>
      <c r="N28" s="80"/>
      <c r="O28" s="36">
        <v>0</v>
      </c>
      <c r="P28" s="36">
        <v>5</v>
      </c>
      <c r="Q28" s="68">
        <v>1</v>
      </c>
      <c r="R28" s="36">
        <v>3</v>
      </c>
      <c r="U28" s="36">
        <v>1</v>
      </c>
      <c r="V28" s="36">
        <v>4</v>
      </c>
      <c r="W28" s="68">
        <v>1</v>
      </c>
      <c r="X28" s="36">
        <v>3</v>
      </c>
    </row>
    <row r="29" ht="123" customHeight="1" spans="1:24">
      <c r="A29" s="52" t="s">
        <v>63</v>
      </c>
      <c r="B29" s="44" t="s">
        <v>64</v>
      </c>
      <c r="C29" s="44"/>
      <c r="D29" s="44"/>
      <c r="E29" s="44"/>
      <c r="F29" s="44"/>
      <c r="G29" s="44"/>
      <c r="H29" s="52" t="s">
        <v>35</v>
      </c>
      <c r="I29" s="52"/>
      <c r="J29" s="52" t="s">
        <v>26</v>
      </c>
      <c r="K29" s="52"/>
      <c r="L29" s="52" t="s">
        <v>27</v>
      </c>
      <c r="M29" s="37"/>
      <c r="N29" s="80"/>
      <c r="O29" s="36">
        <v>5</v>
      </c>
      <c r="P29" s="36">
        <v>10</v>
      </c>
      <c r="Q29" s="68">
        <v>4</v>
      </c>
      <c r="R29" s="36">
        <v>5</v>
      </c>
      <c r="U29" s="36">
        <v>3</v>
      </c>
      <c r="V29" s="36">
        <v>5</v>
      </c>
      <c r="W29" s="68">
        <v>3</v>
      </c>
      <c r="X29" s="36">
        <v>3</v>
      </c>
    </row>
    <row r="30" ht="40" customHeight="1" spans="1:24">
      <c r="A30" s="52"/>
      <c r="B30" s="44" t="s">
        <v>65</v>
      </c>
      <c r="C30" s="44"/>
      <c r="D30" s="44"/>
      <c r="E30" s="44"/>
      <c r="F30" s="44"/>
      <c r="G30" s="44"/>
      <c r="H30" s="52" t="s">
        <v>35</v>
      </c>
      <c r="I30" s="52"/>
      <c r="J30" s="52" t="s">
        <v>26</v>
      </c>
      <c r="K30" s="52"/>
      <c r="L30" s="52" t="s">
        <v>27</v>
      </c>
      <c r="M30" s="37"/>
      <c r="N30" s="80"/>
      <c r="O30" s="36">
        <v>6</v>
      </c>
      <c r="P30" s="36">
        <v>5</v>
      </c>
      <c r="Q30" s="68"/>
      <c r="R30" s="36">
        <v>3</v>
      </c>
      <c r="U30" s="36">
        <v>3</v>
      </c>
      <c r="V30" s="36">
        <v>3</v>
      </c>
      <c r="W30" s="68"/>
      <c r="X30" s="36">
        <v>1</v>
      </c>
    </row>
    <row r="31" ht="140" customHeight="1" spans="1:24">
      <c r="A31" s="52" t="s">
        <v>66</v>
      </c>
      <c r="B31" s="44" t="s">
        <v>67</v>
      </c>
      <c r="C31" s="44"/>
      <c r="D31" s="44"/>
      <c r="E31" s="44"/>
      <c r="F31" s="44"/>
      <c r="G31" s="44"/>
      <c r="H31" s="52" t="s">
        <v>56</v>
      </c>
      <c r="I31" s="52"/>
      <c r="J31" s="52" t="s">
        <v>26</v>
      </c>
      <c r="K31" s="52"/>
      <c r="L31" s="52" t="s">
        <v>27</v>
      </c>
      <c r="M31" s="37"/>
      <c r="N31" s="80" t="s">
        <v>58</v>
      </c>
      <c r="O31" s="36">
        <v>5</v>
      </c>
      <c r="P31" s="36">
        <v>8</v>
      </c>
      <c r="Q31" s="68">
        <v>1</v>
      </c>
      <c r="R31" s="36">
        <v>4</v>
      </c>
      <c r="U31" s="36">
        <v>5</v>
      </c>
      <c r="V31" s="36">
        <v>6</v>
      </c>
      <c r="W31" s="68">
        <v>2</v>
      </c>
      <c r="X31" s="36">
        <v>3</v>
      </c>
    </row>
    <row r="32" ht="59" customHeight="1" spans="1:24">
      <c r="A32" s="76" t="s">
        <v>68</v>
      </c>
      <c r="B32" s="44" t="s">
        <v>69</v>
      </c>
      <c r="C32" s="44"/>
      <c r="D32" s="44"/>
      <c r="E32" s="44"/>
      <c r="F32" s="44"/>
      <c r="G32" s="44"/>
      <c r="H32" s="52" t="s">
        <v>70</v>
      </c>
      <c r="I32" s="52"/>
      <c r="J32" s="52" t="s">
        <v>26</v>
      </c>
      <c r="K32" s="52"/>
      <c r="L32" s="52" t="s">
        <v>71</v>
      </c>
      <c r="M32" s="37"/>
      <c r="N32" s="80" t="s">
        <v>58</v>
      </c>
      <c r="O32" s="36">
        <v>3</v>
      </c>
      <c r="P32" s="36">
        <v>5</v>
      </c>
      <c r="Q32" s="55">
        <v>5</v>
      </c>
      <c r="R32" s="36">
        <v>4</v>
      </c>
      <c r="U32" s="36">
        <v>4</v>
      </c>
      <c r="V32" s="36">
        <v>4</v>
      </c>
      <c r="W32" s="55">
        <v>3</v>
      </c>
      <c r="X32" s="36">
        <v>3</v>
      </c>
    </row>
    <row r="33" ht="70" customHeight="1" spans="1:24">
      <c r="A33" s="110"/>
      <c r="B33" s="46" t="s">
        <v>72</v>
      </c>
      <c r="C33" s="46"/>
      <c r="D33" s="46"/>
      <c r="E33" s="46"/>
      <c r="F33" s="46"/>
      <c r="G33" s="46"/>
      <c r="H33" s="52" t="s">
        <v>70</v>
      </c>
      <c r="I33" s="52"/>
      <c r="J33" s="52" t="s">
        <v>26</v>
      </c>
      <c r="K33" s="52"/>
      <c r="L33" s="52" t="s">
        <v>14</v>
      </c>
      <c r="M33" s="37"/>
      <c r="N33" s="80" t="s">
        <v>58</v>
      </c>
      <c r="O33" s="36">
        <v>6</v>
      </c>
      <c r="P33" s="36">
        <v>8</v>
      </c>
      <c r="Q33" s="119"/>
      <c r="R33" s="36"/>
      <c r="U33" s="36">
        <v>6</v>
      </c>
      <c r="V33" s="36">
        <v>6</v>
      </c>
      <c r="W33" s="119"/>
      <c r="X33" s="36"/>
    </row>
    <row r="34" ht="39" customHeight="1" spans="1:24">
      <c r="A34" s="110"/>
      <c r="B34" s="57" t="s">
        <v>73</v>
      </c>
      <c r="C34" s="58"/>
      <c r="D34" s="58"/>
      <c r="E34" s="58"/>
      <c r="F34" s="58"/>
      <c r="G34" s="59"/>
      <c r="H34" s="78"/>
      <c r="I34" s="79"/>
      <c r="J34" s="78"/>
      <c r="K34" s="79"/>
      <c r="L34" s="52" t="s">
        <v>14</v>
      </c>
      <c r="M34" s="37"/>
      <c r="N34" s="80"/>
      <c r="O34" s="36">
        <v>0</v>
      </c>
      <c r="P34" s="36">
        <v>10</v>
      </c>
      <c r="Q34" s="119"/>
      <c r="R34" s="36"/>
      <c r="U34" s="36">
        <v>3</v>
      </c>
      <c r="V34" s="36">
        <v>5</v>
      </c>
      <c r="W34" s="119"/>
      <c r="X34" s="36"/>
    </row>
    <row r="35" ht="85" customHeight="1" spans="1:24">
      <c r="A35" s="52" t="s">
        <v>74</v>
      </c>
      <c r="B35" s="26" t="s">
        <v>75</v>
      </c>
      <c r="C35" s="43"/>
      <c r="D35" s="43"/>
      <c r="E35" s="43"/>
      <c r="F35" s="43"/>
      <c r="G35" s="43"/>
      <c r="H35" s="52" t="s">
        <v>35</v>
      </c>
      <c r="I35" s="52"/>
      <c r="J35" s="52" t="s">
        <v>32</v>
      </c>
      <c r="K35" s="52"/>
      <c r="L35" s="52" t="s">
        <v>27</v>
      </c>
      <c r="M35" s="37"/>
      <c r="N35" s="80" t="s">
        <v>58</v>
      </c>
      <c r="O35" s="36">
        <v>5</v>
      </c>
      <c r="P35" s="36">
        <v>3</v>
      </c>
      <c r="Q35" s="68">
        <v>1</v>
      </c>
      <c r="R35" s="36">
        <v>3</v>
      </c>
      <c r="U35" s="36">
        <v>4</v>
      </c>
      <c r="V35" s="36">
        <v>4</v>
      </c>
      <c r="W35" s="68">
        <v>2</v>
      </c>
      <c r="X35" s="36">
        <v>2</v>
      </c>
    </row>
    <row r="36" ht="130" customHeight="1" spans="1:24">
      <c r="A36" s="52" t="s">
        <v>76</v>
      </c>
      <c r="B36" s="43" t="s">
        <v>77</v>
      </c>
      <c r="C36" s="43"/>
      <c r="D36" s="43"/>
      <c r="E36" s="43"/>
      <c r="F36" s="43"/>
      <c r="G36" s="43"/>
      <c r="H36" s="52" t="s">
        <v>56</v>
      </c>
      <c r="I36" s="52"/>
      <c r="J36" s="52" t="s">
        <v>26</v>
      </c>
      <c r="K36" s="52"/>
      <c r="L36" s="52" t="s">
        <v>27</v>
      </c>
      <c r="M36" s="37"/>
      <c r="N36" s="80"/>
      <c r="O36" s="36">
        <v>2</v>
      </c>
      <c r="P36" s="36">
        <v>6</v>
      </c>
      <c r="Q36" s="68">
        <v>3</v>
      </c>
      <c r="R36" s="36">
        <v>3</v>
      </c>
      <c r="U36" s="36">
        <v>3</v>
      </c>
      <c r="V36" s="36">
        <v>4</v>
      </c>
      <c r="W36" s="68">
        <v>2</v>
      </c>
      <c r="X36" s="36">
        <v>2</v>
      </c>
    </row>
    <row r="37" ht="56" customHeight="1" spans="1:24">
      <c r="A37" s="52" t="s">
        <v>78</v>
      </c>
      <c r="B37" s="44" t="s">
        <v>79</v>
      </c>
      <c r="C37" s="44"/>
      <c r="D37" s="44"/>
      <c r="E37" s="44"/>
      <c r="F37" s="44"/>
      <c r="G37" s="44"/>
      <c r="H37" s="52" t="s">
        <v>56</v>
      </c>
      <c r="I37" s="52"/>
      <c r="J37" s="52" t="s">
        <v>26</v>
      </c>
      <c r="K37" s="52"/>
      <c r="L37" s="52" t="s">
        <v>27</v>
      </c>
      <c r="M37" s="37"/>
      <c r="N37" s="80"/>
      <c r="O37" s="36">
        <v>5</v>
      </c>
      <c r="P37" s="36">
        <v>3</v>
      </c>
      <c r="Q37" s="68"/>
      <c r="R37" s="36">
        <v>2</v>
      </c>
      <c r="U37" s="36">
        <v>2</v>
      </c>
      <c r="V37" s="36">
        <v>2</v>
      </c>
      <c r="W37" s="68"/>
      <c r="X37" s="36">
        <v>1</v>
      </c>
    </row>
    <row r="38" ht="184" customHeight="1" spans="1:24">
      <c r="A38" s="52" t="s">
        <v>80</v>
      </c>
      <c r="B38" s="44" t="s">
        <v>81</v>
      </c>
      <c r="C38" s="44"/>
      <c r="D38" s="44"/>
      <c r="E38" s="44"/>
      <c r="F38" s="44"/>
      <c r="G38" s="44"/>
      <c r="H38" s="52" t="s">
        <v>82</v>
      </c>
      <c r="I38" s="52"/>
      <c r="J38" s="52" t="s">
        <v>26</v>
      </c>
      <c r="K38" s="52"/>
      <c r="L38" s="52" t="s">
        <v>27</v>
      </c>
      <c r="M38" s="37"/>
      <c r="N38" s="80" t="s">
        <v>83</v>
      </c>
      <c r="O38" s="36">
        <v>6</v>
      </c>
      <c r="P38" s="36">
        <v>5</v>
      </c>
      <c r="Q38" s="68">
        <v>3</v>
      </c>
      <c r="R38" s="36">
        <v>5</v>
      </c>
      <c r="U38" s="117">
        <v>5</v>
      </c>
      <c r="V38" s="117">
        <v>5</v>
      </c>
      <c r="W38" s="68">
        <v>2</v>
      </c>
      <c r="X38" s="36">
        <v>3</v>
      </c>
    </row>
    <row r="39" ht="63" customHeight="1" spans="1:24">
      <c r="A39" s="52"/>
      <c r="B39" s="44" t="s">
        <v>84</v>
      </c>
      <c r="C39" s="44"/>
      <c r="D39" s="44"/>
      <c r="E39" s="44"/>
      <c r="F39" s="44"/>
      <c r="G39" s="44"/>
      <c r="H39" s="52" t="s">
        <v>82</v>
      </c>
      <c r="I39" s="52"/>
      <c r="J39" s="52" t="s">
        <v>26</v>
      </c>
      <c r="K39" s="52"/>
      <c r="L39" s="52" t="s">
        <v>27</v>
      </c>
      <c r="M39" s="37"/>
      <c r="N39" s="80" t="s">
        <v>83</v>
      </c>
      <c r="O39" s="36">
        <v>1</v>
      </c>
      <c r="P39" s="36">
        <v>1</v>
      </c>
      <c r="Q39" s="68"/>
      <c r="R39" s="55">
        <v>1</v>
      </c>
      <c r="U39" s="36">
        <v>1</v>
      </c>
      <c r="V39" s="36">
        <v>1</v>
      </c>
      <c r="W39" s="68"/>
      <c r="X39" s="55">
        <v>1</v>
      </c>
    </row>
    <row r="40" ht="52" customHeight="1" spans="1:24">
      <c r="A40" s="52"/>
      <c r="B40" s="44" t="s">
        <v>85</v>
      </c>
      <c r="C40" s="44"/>
      <c r="D40" s="44"/>
      <c r="E40" s="44"/>
      <c r="F40" s="44"/>
      <c r="G40" s="44"/>
      <c r="H40" s="52" t="s">
        <v>82</v>
      </c>
      <c r="I40" s="52"/>
      <c r="J40" s="52" t="s">
        <v>26</v>
      </c>
      <c r="K40" s="52"/>
      <c r="L40" s="52" t="s">
        <v>27</v>
      </c>
      <c r="M40" s="37"/>
      <c r="N40" s="80" t="s">
        <v>58</v>
      </c>
      <c r="O40" s="36">
        <v>1</v>
      </c>
      <c r="P40" s="36">
        <v>2</v>
      </c>
      <c r="Q40" s="68"/>
      <c r="R40" s="60"/>
      <c r="U40" s="36">
        <v>2</v>
      </c>
      <c r="V40" s="36">
        <v>2</v>
      </c>
      <c r="W40" s="68"/>
      <c r="X40" s="60"/>
    </row>
    <row r="41" ht="102" customHeight="1" spans="1:24">
      <c r="A41" s="52" t="s">
        <v>74</v>
      </c>
      <c r="B41" s="44" t="s">
        <v>86</v>
      </c>
      <c r="C41" s="44"/>
      <c r="D41" s="44"/>
      <c r="E41" s="44"/>
      <c r="F41" s="44"/>
      <c r="G41" s="44"/>
      <c r="H41" s="52" t="s">
        <v>35</v>
      </c>
      <c r="I41" s="52"/>
      <c r="J41" s="52" t="s">
        <v>26</v>
      </c>
      <c r="K41" s="52"/>
      <c r="L41" s="52" t="s">
        <v>27</v>
      </c>
      <c r="M41" s="37"/>
      <c r="N41" s="80" t="s">
        <v>58</v>
      </c>
      <c r="O41" s="36">
        <v>3</v>
      </c>
      <c r="P41" s="36">
        <v>5</v>
      </c>
      <c r="Q41" s="68">
        <v>1</v>
      </c>
      <c r="R41" s="36">
        <v>3</v>
      </c>
      <c r="U41" s="36">
        <v>3</v>
      </c>
      <c r="V41" s="36">
        <v>4</v>
      </c>
      <c r="W41" s="68">
        <v>2</v>
      </c>
      <c r="X41" s="36">
        <v>2</v>
      </c>
    </row>
    <row r="42" ht="43" customHeight="1" spans="1:24">
      <c r="A42" s="120" t="s">
        <v>87</v>
      </c>
      <c r="B42" s="120" t="s">
        <v>88</v>
      </c>
      <c r="C42" s="120"/>
      <c r="D42" s="120"/>
      <c r="E42" s="120"/>
      <c r="F42" s="120"/>
      <c r="G42" s="120"/>
      <c r="H42" s="52"/>
      <c r="I42" s="52"/>
      <c r="J42" s="52"/>
      <c r="K42" s="52"/>
      <c r="L42" s="52"/>
      <c r="M42" s="37"/>
      <c r="N42" s="80"/>
      <c r="O42" s="36"/>
      <c r="P42" s="36"/>
      <c r="Q42" s="68"/>
      <c r="R42" s="36"/>
      <c r="U42" s="36"/>
      <c r="V42" s="36"/>
      <c r="W42" s="68"/>
      <c r="X42" s="36"/>
    </row>
    <row r="43" ht="27" spans="1:24">
      <c r="A43" s="121" t="s">
        <v>89</v>
      </c>
      <c r="B43" s="43" t="s">
        <v>90</v>
      </c>
      <c r="C43" s="43"/>
      <c r="D43" s="43"/>
      <c r="E43" s="43"/>
      <c r="F43" s="43"/>
      <c r="G43" s="43"/>
      <c r="H43" s="52"/>
      <c r="I43" s="52"/>
      <c r="J43" s="52"/>
      <c r="K43" s="52"/>
      <c r="L43" s="52" t="s">
        <v>14</v>
      </c>
      <c r="M43" s="37"/>
      <c r="N43" s="80"/>
      <c r="O43" s="36">
        <v>0</v>
      </c>
      <c r="P43" s="36">
        <v>3</v>
      </c>
      <c r="Q43" s="68">
        <v>1</v>
      </c>
      <c r="R43" s="36"/>
      <c r="U43" s="36">
        <v>0</v>
      </c>
      <c r="V43" s="36">
        <v>3</v>
      </c>
      <c r="W43" s="68">
        <v>1</v>
      </c>
      <c r="X43" s="36"/>
    </row>
    <row r="44" ht="18" customHeight="1" spans="1:24">
      <c r="A44" s="121" t="s">
        <v>91</v>
      </c>
      <c r="B44" s="43" t="s">
        <v>92</v>
      </c>
      <c r="C44" s="43"/>
      <c r="D44" s="43"/>
      <c r="E44" s="43"/>
      <c r="F44" s="43"/>
      <c r="G44" s="43"/>
      <c r="H44" s="78"/>
      <c r="I44" s="79"/>
      <c r="J44" s="52"/>
      <c r="K44" s="52"/>
      <c r="L44" s="52" t="s">
        <v>14</v>
      </c>
      <c r="M44" s="37"/>
      <c r="N44" s="80"/>
      <c r="O44" s="36">
        <v>1</v>
      </c>
      <c r="P44" s="36">
        <v>1</v>
      </c>
      <c r="Q44" s="68">
        <v>1</v>
      </c>
      <c r="R44" s="36"/>
      <c r="U44" s="36">
        <v>1</v>
      </c>
      <c r="V44" s="36">
        <v>1</v>
      </c>
      <c r="W44" s="68">
        <v>1</v>
      </c>
      <c r="X44" s="36"/>
    </row>
    <row r="45" ht="29" customHeight="1" spans="1:24">
      <c r="A45" s="122" t="s">
        <v>93</v>
      </c>
      <c r="B45" s="18" t="s">
        <v>94</v>
      </c>
      <c r="C45" s="19"/>
      <c r="D45" s="19"/>
      <c r="E45" s="19"/>
      <c r="F45" s="19"/>
      <c r="G45" s="20"/>
      <c r="H45" s="112"/>
      <c r="I45" s="114"/>
      <c r="J45" s="112"/>
      <c r="K45" s="114"/>
      <c r="L45" s="52" t="s">
        <v>14</v>
      </c>
      <c r="M45" s="37"/>
      <c r="N45" s="80"/>
      <c r="O45" s="36">
        <v>3</v>
      </c>
      <c r="P45" s="36">
        <v>3</v>
      </c>
      <c r="Q45" s="123">
        <v>1</v>
      </c>
      <c r="R45" s="36"/>
      <c r="U45" s="36">
        <v>3</v>
      </c>
      <c r="V45" s="36">
        <v>3</v>
      </c>
      <c r="W45" s="123">
        <v>1</v>
      </c>
      <c r="X45" s="36"/>
    </row>
    <row r="46" ht="108" customHeight="1" spans="1:24">
      <c r="A46" s="122" t="s">
        <v>95</v>
      </c>
      <c r="B46" s="18" t="s">
        <v>96</v>
      </c>
      <c r="C46" s="19"/>
      <c r="D46" s="19"/>
      <c r="E46" s="19"/>
      <c r="F46" s="19"/>
      <c r="G46" s="20"/>
      <c r="H46" s="112"/>
      <c r="I46" s="114"/>
      <c r="J46" s="112"/>
      <c r="K46" s="114"/>
      <c r="L46" s="52" t="s">
        <v>14</v>
      </c>
      <c r="M46" s="37"/>
      <c r="N46" s="80"/>
      <c r="O46" s="36">
        <v>6</v>
      </c>
      <c r="P46" s="36">
        <v>12</v>
      </c>
      <c r="Q46" s="124">
        <v>3</v>
      </c>
      <c r="R46" s="36"/>
      <c r="U46" s="36">
        <v>6</v>
      </c>
      <c r="V46" s="36">
        <v>10</v>
      </c>
      <c r="W46" s="124">
        <v>3</v>
      </c>
      <c r="X46" s="36"/>
    </row>
    <row r="47" ht="60" customHeight="1" spans="1:24">
      <c r="A47" s="122" t="s">
        <v>97</v>
      </c>
      <c r="B47" s="18" t="s">
        <v>98</v>
      </c>
      <c r="C47" s="19"/>
      <c r="D47" s="19"/>
      <c r="E47" s="19"/>
      <c r="F47" s="19"/>
      <c r="G47" s="20"/>
      <c r="H47" s="112"/>
      <c r="I47" s="114"/>
      <c r="J47" s="112"/>
      <c r="K47" s="114"/>
      <c r="L47" s="52" t="s">
        <v>14</v>
      </c>
      <c r="M47" s="37"/>
      <c r="N47" s="80"/>
      <c r="O47" s="36">
        <v>3</v>
      </c>
      <c r="P47" s="36">
        <v>5</v>
      </c>
      <c r="Q47" s="125">
        <v>2</v>
      </c>
      <c r="R47" s="36"/>
      <c r="U47" s="36">
        <v>3</v>
      </c>
      <c r="V47" s="36">
        <v>5</v>
      </c>
      <c r="W47" s="125">
        <v>2</v>
      </c>
      <c r="X47" s="36"/>
    </row>
    <row r="48" ht="28" customHeight="1" spans="1:24">
      <c r="A48" s="17" t="s">
        <v>99</v>
      </c>
      <c r="B48" s="18" t="s">
        <v>100</v>
      </c>
      <c r="C48" s="19"/>
      <c r="D48" s="19"/>
      <c r="E48" s="19"/>
      <c r="F48" s="19"/>
      <c r="G48" s="20"/>
      <c r="H48" s="112"/>
      <c r="I48" s="114"/>
      <c r="J48" s="112"/>
      <c r="K48" s="114"/>
      <c r="L48" s="52" t="s">
        <v>14</v>
      </c>
      <c r="M48" s="37"/>
      <c r="N48" s="80"/>
      <c r="O48" s="36">
        <v>1</v>
      </c>
      <c r="P48" s="36">
        <v>2</v>
      </c>
      <c r="Q48" s="55">
        <v>1</v>
      </c>
      <c r="R48" s="36"/>
      <c r="U48" s="36">
        <v>1</v>
      </c>
      <c r="V48" s="36">
        <v>2</v>
      </c>
      <c r="W48" s="55">
        <v>1</v>
      </c>
      <c r="X48" s="36"/>
    </row>
    <row r="49" ht="18" customHeight="1" spans="1:24">
      <c r="A49" s="42"/>
      <c r="B49" s="18" t="s">
        <v>101</v>
      </c>
      <c r="C49" s="19"/>
      <c r="D49" s="19"/>
      <c r="E49" s="19"/>
      <c r="F49" s="19"/>
      <c r="G49" s="20"/>
      <c r="H49" s="112"/>
      <c r="I49" s="114"/>
      <c r="J49" s="112"/>
      <c r="K49" s="114"/>
      <c r="L49" s="52" t="s">
        <v>14</v>
      </c>
      <c r="M49" s="37"/>
      <c r="N49" s="80"/>
      <c r="O49" s="36">
        <v>0</v>
      </c>
      <c r="P49" s="36">
        <v>5</v>
      </c>
      <c r="Q49" s="60"/>
      <c r="R49" s="36"/>
      <c r="U49" s="36">
        <v>0</v>
      </c>
      <c r="V49" s="36">
        <v>5</v>
      </c>
      <c r="W49" s="60"/>
      <c r="X49" s="36"/>
    </row>
    <row r="50" ht="18" customHeight="1" spans="1:24">
      <c r="A50" s="121" t="s">
        <v>102</v>
      </c>
      <c r="B50" s="126" t="s">
        <v>103</v>
      </c>
      <c r="C50" s="127"/>
      <c r="D50" s="127"/>
      <c r="E50" s="127"/>
      <c r="F50" s="127"/>
      <c r="G50" s="128"/>
      <c r="H50" s="78"/>
      <c r="I50" s="79"/>
      <c r="J50" s="52"/>
      <c r="K50" s="52"/>
      <c r="L50" s="78" t="s">
        <v>15</v>
      </c>
      <c r="M50" s="79"/>
      <c r="N50" s="80"/>
      <c r="O50" s="36"/>
      <c r="P50" s="36"/>
      <c r="Q50" s="68"/>
      <c r="R50" s="36">
        <v>5</v>
      </c>
      <c r="U50" s="36"/>
      <c r="V50" s="36"/>
      <c r="W50" s="68"/>
      <c r="X50" s="36">
        <v>5</v>
      </c>
    </row>
    <row r="51" ht="49" customHeight="1" spans="1:24">
      <c r="A51" s="129" t="s">
        <v>104</v>
      </c>
      <c r="B51" s="126" t="s">
        <v>105</v>
      </c>
      <c r="C51" s="127"/>
      <c r="D51" s="127"/>
      <c r="E51" s="127"/>
      <c r="F51" s="127"/>
      <c r="G51" s="128"/>
      <c r="H51" s="78"/>
      <c r="I51" s="79"/>
      <c r="J51" s="52"/>
      <c r="K51" s="52"/>
      <c r="L51" s="78" t="s">
        <v>15</v>
      </c>
      <c r="M51" s="79"/>
      <c r="N51" s="80"/>
      <c r="O51" s="36"/>
      <c r="P51" s="36"/>
      <c r="Q51" s="68"/>
      <c r="R51" s="36">
        <v>5</v>
      </c>
      <c r="U51" s="36"/>
      <c r="V51" s="36"/>
      <c r="W51" s="68"/>
      <c r="X51" s="36">
        <v>5</v>
      </c>
    </row>
    <row r="52" ht="18" customHeight="1" spans="1:24">
      <c r="A52" s="130" t="s">
        <v>106</v>
      </c>
      <c r="B52" s="130"/>
      <c r="C52" s="130"/>
      <c r="D52" s="130"/>
      <c r="E52" s="130"/>
      <c r="F52" s="130"/>
      <c r="G52" s="130"/>
      <c r="H52" s="130"/>
      <c r="I52" s="130"/>
      <c r="J52" s="130"/>
      <c r="K52" s="130"/>
      <c r="L52" s="130"/>
      <c r="M52" s="130"/>
      <c r="N52" s="130"/>
      <c r="O52" s="36">
        <f>SUM(O6:O51)</f>
        <v>135</v>
      </c>
      <c r="P52" s="36">
        <f t="shared" ref="P52:X52" si="0">SUM(P6:P51)</f>
        <v>204</v>
      </c>
      <c r="Q52" s="36">
        <f t="shared" si="0"/>
        <v>54</v>
      </c>
      <c r="R52" s="36">
        <f t="shared" si="0"/>
        <v>91</v>
      </c>
      <c r="U52" s="36">
        <f t="shared" si="0"/>
        <v>127</v>
      </c>
      <c r="V52" s="36">
        <f t="shared" si="0"/>
        <v>162</v>
      </c>
      <c r="W52" s="36">
        <f t="shared" si="0"/>
        <v>47</v>
      </c>
      <c r="X52" s="36">
        <f t="shared" si="0"/>
        <v>73</v>
      </c>
    </row>
    <row r="53" ht="18" customHeight="1" spans="1:24">
      <c r="A53" s="130" t="s">
        <v>107</v>
      </c>
      <c r="B53" s="130"/>
      <c r="C53" s="130"/>
      <c r="D53" s="130"/>
      <c r="E53" s="130"/>
      <c r="F53" s="130"/>
      <c r="G53" s="130"/>
      <c r="H53" s="130"/>
      <c r="I53" s="130"/>
      <c r="J53" s="130"/>
      <c r="K53" s="130"/>
      <c r="L53" s="130"/>
      <c r="M53" s="130"/>
      <c r="N53" s="130"/>
      <c r="O53" s="68">
        <f>SUM(O52:Q52)</f>
        <v>393</v>
      </c>
      <c r="P53" s="68"/>
      <c r="Q53" s="68"/>
      <c r="R53" s="36">
        <f>SUM(R52:R52)</f>
        <v>91</v>
      </c>
      <c r="U53" s="68">
        <f>SUM(U52:W52)</f>
        <v>336</v>
      </c>
      <c r="V53" s="68"/>
      <c r="W53" s="68"/>
      <c r="X53" s="36">
        <f>SUM(X52:X52)</f>
        <v>73</v>
      </c>
    </row>
    <row r="54" spans="1:24">
      <c r="H54" s="71"/>
      <c r="I54" s="71"/>
      <c r="J54" s="71"/>
      <c r="K54" s="71"/>
      <c r="L54" s="71"/>
      <c r="M54" s="131"/>
    </row>
    <row r="55" spans="1:24">
      <c r="H55" s="71"/>
      <c r="I55" s="71"/>
      <c r="J55" s="71"/>
      <c r="K55" s="71"/>
      <c r="L55" s="71"/>
      <c r="M55" s="131"/>
    </row>
    <row r="56" spans="1:24">
      <c r="A56" s="72" t="s">
        <v>108</v>
      </c>
      <c r="H56" s="71"/>
      <c r="I56" s="71"/>
      <c r="J56" s="71"/>
      <c r="K56" s="71"/>
      <c r="L56" s="71"/>
      <c r="M56" s="131"/>
    </row>
    <row r="57" spans="1:24">
      <c r="A57" s="121" t="s">
        <v>109</v>
      </c>
      <c r="B57" s="43" t="s">
        <v>110</v>
      </c>
      <c r="C57" s="43"/>
      <c r="D57" s="43"/>
      <c r="E57" s="43"/>
      <c r="F57" s="43"/>
      <c r="G57" s="43"/>
      <c r="H57" s="52"/>
      <c r="I57" s="52"/>
      <c r="J57" s="52"/>
      <c r="K57" s="52"/>
      <c r="L57" s="52"/>
      <c r="M57" s="37"/>
      <c r="N57" s="80"/>
      <c r="O57" s="36"/>
      <c r="P57" s="36"/>
      <c r="Q57" s="36"/>
      <c r="R57" s="36">
        <v>1</v>
      </c>
    </row>
    <row r="58" spans="1:24">
      <c r="A58" s="121"/>
      <c r="B58" s="43" t="s">
        <v>111</v>
      </c>
      <c r="C58" s="43"/>
      <c r="D58" s="43"/>
      <c r="E58" s="43"/>
      <c r="F58" s="43"/>
      <c r="G58" s="43"/>
      <c r="H58" s="52"/>
      <c r="I58" s="52"/>
      <c r="J58" s="52"/>
      <c r="K58" s="52"/>
      <c r="L58" s="52"/>
      <c r="M58" s="37"/>
      <c r="N58" s="80"/>
      <c r="O58" s="36"/>
      <c r="P58" s="36"/>
      <c r="Q58" s="36"/>
      <c r="R58" s="36">
        <v>3</v>
      </c>
    </row>
    <row r="59" spans="1:24">
      <c r="A59" s="121"/>
      <c r="B59" s="43" t="s">
        <v>112</v>
      </c>
      <c r="C59" s="43"/>
      <c r="D59" s="43"/>
      <c r="E59" s="43"/>
      <c r="F59" s="43"/>
      <c r="G59" s="43"/>
      <c r="H59" s="52"/>
      <c r="I59" s="52"/>
      <c r="J59" s="52"/>
      <c r="K59" s="52"/>
      <c r="L59" s="52"/>
      <c r="M59" s="37"/>
      <c r="N59" s="80"/>
      <c r="O59" s="36"/>
      <c r="P59" s="36"/>
      <c r="Q59" s="36"/>
      <c r="R59" s="36">
        <v>1</v>
      </c>
    </row>
    <row r="60" spans="1:24">
      <c r="A60" s="121"/>
      <c r="B60" s="43" t="s">
        <v>113</v>
      </c>
      <c r="C60" s="43"/>
      <c r="D60" s="43"/>
      <c r="E60" s="43"/>
      <c r="F60" s="43"/>
      <c r="G60" s="43"/>
      <c r="H60" s="52"/>
      <c r="I60" s="52"/>
      <c r="J60" s="52"/>
      <c r="K60" s="52"/>
      <c r="L60" s="52"/>
      <c r="M60" s="37"/>
      <c r="N60" s="80"/>
      <c r="O60" s="36"/>
      <c r="P60" s="36"/>
      <c r="Q60" s="36"/>
      <c r="R60" s="36"/>
    </row>
    <row r="61" spans="1:24">
      <c r="A61" s="121"/>
      <c r="B61" s="43" t="s">
        <v>114</v>
      </c>
      <c r="C61" s="43"/>
      <c r="D61" s="43"/>
      <c r="E61" s="43"/>
      <c r="F61" s="43"/>
      <c r="G61" s="43"/>
      <c r="H61" s="52"/>
      <c r="I61" s="52"/>
      <c r="J61" s="52"/>
      <c r="K61" s="52"/>
      <c r="L61" s="52"/>
      <c r="M61" s="37"/>
      <c r="N61" s="80"/>
      <c r="O61" s="36"/>
      <c r="P61" s="36"/>
      <c r="Q61" s="36"/>
      <c r="R61" s="36">
        <v>0.5</v>
      </c>
    </row>
    <row r="62" spans="1:24">
      <c r="A62" s="121"/>
      <c r="B62" s="43" t="s">
        <v>115</v>
      </c>
      <c r="C62" s="43"/>
      <c r="D62" s="43"/>
      <c r="E62" s="43"/>
      <c r="F62" s="43"/>
      <c r="G62" s="43"/>
      <c r="H62" s="52"/>
      <c r="I62" s="52"/>
      <c r="J62" s="52"/>
      <c r="K62" s="52"/>
      <c r="L62" s="52"/>
      <c r="M62" s="37"/>
      <c r="N62" s="80"/>
      <c r="O62" s="36"/>
      <c r="P62" s="36"/>
      <c r="Q62" s="36"/>
      <c r="R62" s="36">
        <v>1</v>
      </c>
    </row>
    <row r="63" spans="1:24">
      <c r="A63" s="121"/>
      <c r="B63" s="43" t="s">
        <v>116</v>
      </c>
      <c r="C63" s="43"/>
      <c r="D63" s="43"/>
      <c r="E63" s="43"/>
      <c r="F63" s="43"/>
      <c r="G63" s="43"/>
      <c r="H63" s="52"/>
      <c r="I63" s="52"/>
      <c r="J63" s="52"/>
      <c r="K63" s="52"/>
      <c r="L63" s="52"/>
      <c r="M63" s="37"/>
      <c r="N63" s="80"/>
      <c r="O63" s="36"/>
      <c r="P63" s="36"/>
      <c r="Q63" s="36"/>
      <c r="R63" s="36">
        <v>1</v>
      </c>
    </row>
    <row r="64" spans="1:24">
      <c r="A64" s="121"/>
      <c r="B64" s="43" t="s">
        <v>117</v>
      </c>
      <c r="C64" s="43"/>
      <c r="D64" s="43"/>
      <c r="E64" s="43"/>
      <c r="F64" s="43"/>
      <c r="G64" s="43"/>
      <c r="H64" s="52"/>
      <c r="I64" s="52"/>
      <c r="J64" s="52"/>
      <c r="K64" s="52"/>
      <c r="L64" s="52"/>
      <c r="M64" s="37"/>
      <c r="N64" s="80"/>
      <c r="O64" s="36"/>
      <c r="P64" s="36"/>
      <c r="Q64" s="36"/>
      <c r="R64" s="36">
        <v>6</v>
      </c>
    </row>
    <row r="65" spans="1:18">
      <c r="A65" s="121"/>
      <c r="B65" s="43" t="s">
        <v>118</v>
      </c>
      <c r="C65" s="43"/>
      <c r="D65" s="43"/>
      <c r="E65" s="43"/>
      <c r="F65" s="43"/>
      <c r="G65" s="43"/>
      <c r="H65" s="52"/>
      <c r="I65" s="52"/>
      <c r="J65" s="52"/>
      <c r="K65" s="52"/>
      <c r="L65" s="52"/>
      <c r="M65" s="37"/>
      <c r="N65" s="80"/>
      <c r="O65" s="36"/>
      <c r="P65" s="36"/>
      <c r="Q65" s="36"/>
      <c r="R65" s="36">
        <v>1</v>
      </c>
    </row>
    <row r="66" spans="1:18">
      <c r="A66" s="121"/>
      <c r="B66" s="43" t="s">
        <v>119</v>
      </c>
      <c r="C66" s="43"/>
      <c r="D66" s="43"/>
      <c r="E66" s="43"/>
      <c r="F66" s="43"/>
      <c r="G66" s="43"/>
      <c r="H66" s="52"/>
      <c r="I66" s="52"/>
      <c r="J66" s="52"/>
      <c r="K66" s="52"/>
      <c r="L66" s="52"/>
      <c r="M66" s="37"/>
      <c r="N66" s="80"/>
      <c r="O66" s="36"/>
      <c r="P66" s="36"/>
      <c r="Q66" s="36"/>
      <c r="R66" s="36">
        <v>2</v>
      </c>
    </row>
    <row r="67" spans="1:18">
      <c r="A67" s="121"/>
      <c r="B67" s="43" t="s">
        <v>120</v>
      </c>
      <c r="C67" s="43"/>
      <c r="D67" s="43"/>
      <c r="E67" s="43"/>
      <c r="F67" s="43"/>
      <c r="G67" s="43"/>
      <c r="H67" s="52"/>
      <c r="I67" s="52"/>
      <c r="J67" s="52"/>
      <c r="K67" s="52"/>
      <c r="L67" s="52"/>
      <c r="M67" s="37"/>
      <c r="N67" s="80"/>
      <c r="O67" s="36"/>
      <c r="P67" s="36"/>
      <c r="Q67" s="36"/>
      <c r="R67" s="36">
        <v>1</v>
      </c>
    </row>
    <row r="68" spans="1:18">
      <c r="A68" s="121"/>
      <c r="B68" s="43" t="s">
        <v>121</v>
      </c>
      <c r="C68" s="43"/>
      <c r="D68" s="43"/>
      <c r="E68" s="43"/>
      <c r="F68" s="43"/>
      <c r="G68" s="43"/>
      <c r="H68" s="52"/>
      <c r="I68" s="52"/>
      <c r="J68" s="52"/>
      <c r="K68" s="52"/>
      <c r="L68" s="52"/>
      <c r="M68" s="37"/>
      <c r="N68" s="80"/>
      <c r="O68" s="36"/>
      <c r="P68" s="36"/>
      <c r="Q68" s="36"/>
      <c r="R68" s="36">
        <v>1</v>
      </c>
    </row>
    <row r="69" spans="1:18">
      <c r="A69" s="121"/>
      <c r="B69" s="43" t="s">
        <v>122</v>
      </c>
      <c r="C69" s="43"/>
      <c r="D69" s="43"/>
      <c r="E69" s="43"/>
      <c r="F69" s="43"/>
      <c r="G69" s="43"/>
      <c r="H69" s="52"/>
      <c r="I69" s="52"/>
      <c r="J69" s="52"/>
      <c r="K69" s="52"/>
      <c r="L69" s="52"/>
      <c r="M69" s="37"/>
      <c r="N69" s="80"/>
      <c r="O69" s="36"/>
      <c r="P69" s="36"/>
      <c r="Q69" s="36"/>
      <c r="R69" s="36">
        <v>1</v>
      </c>
    </row>
    <row r="70" spans="1:18">
      <c r="A70" s="121"/>
      <c r="B70" s="43" t="s">
        <v>123</v>
      </c>
      <c r="C70" s="43"/>
      <c r="D70" s="43"/>
      <c r="E70" s="43"/>
      <c r="F70" s="43"/>
      <c r="G70" s="43"/>
      <c r="H70" s="52"/>
      <c r="I70" s="52"/>
      <c r="J70" s="52"/>
      <c r="K70" s="52"/>
      <c r="L70" s="52"/>
      <c r="M70" s="37"/>
      <c r="N70" s="80"/>
      <c r="O70" s="36"/>
      <c r="P70" s="36"/>
      <c r="Q70" s="36"/>
      <c r="R70" s="36">
        <v>1</v>
      </c>
    </row>
    <row r="71" spans="1:18">
      <c r="A71" s="121"/>
      <c r="B71" s="43" t="s">
        <v>124</v>
      </c>
      <c r="C71" s="43"/>
      <c r="D71" s="43"/>
      <c r="E71" s="43"/>
      <c r="F71" s="43"/>
      <c r="G71" s="43"/>
      <c r="H71" s="52"/>
      <c r="I71" s="52"/>
      <c r="J71" s="52"/>
      <c r="K71" s="52"/>
      <c r="L71" s="52"/>
      <c r="M71" s="37"/>
      <c r="N71" s="80"/>
      <c r="O71" s="36"/>
      <c r="P71" s="36"/>
      <c r="Q71" s="36"/>
      <c r="R71" s="36">
        <v>0.5</v>
      </c>
    </row>
    <row r="72" spans="1:18">
      <c r="A72" s="121"/>
      <c r="B72" s="43" t="s">
        <v>125</v>
      </c>
      <c r="C72" s="43"/>
      <c r="D72" s="43"/>
      <c r="E72" s="43"/>
      <c r="F72" s="43"/>
      <c r="G72" s="43"/>
      <c r="H72" s="52"/>
      <c r="I72" s="52"/>
      <c r="J72" s="52"/>
      <c r="K72" s="52"/>
      <c r="L72" s="52"/>
      <c r="M72" s="37"/>
      <c r="N72" s="80"/>
      <c r="O72" s="36"/>
      <c r="P72" s="36"/>
      <c r="Q72" s="36"/>
      <c r="R72" s="36">
        <v>0.5</v>
      </c>
    </row>
    <row r="73" spans="1:18">
      <c r="A73" s="121"/>
      <c r="B73" s="43" t="s">
        <v>126</v>
      </c>
      <c r="C73" s="43"/>
      <c r="D73" s="43"/>
      <c r="E73" s="43"/>
      <c r="F73" s="43"/>
      <c r="G73" s="43"/>
      <c r="H73" s="52"/>
      <c r="I73" s="52"/>
      <c r="J73" s="52"/>
      <c r="K73" s="52"/>
      <c r="L73" s="52"/>
      <c r="M73" s="37"/>
      <c r="N73" s="80"/>
      <c r="O73" s="36"/>
      <c r="P73" s="36"/>
      <c r="Q73" s="36"/>
      <c r="R73" s="36">
        <v>1</v>
      </c>
    </row>
    <row r="74" spans="1:18">
      <c r="A74" s="121"/>
      <c r="B74" s="43" t="s">
        <v>127</v>
      </c>
      <c r="C74" s="43"/>
      <c r="D74" s="43"/>
      <c r="E74" s="43"/>
      <c r="F74" s="43"/>
      <c r="G74" s="43"/>
      <c r="H74" s="52"/>
      <c r="I74" s="52"/>
      <c r="J74" s="52"/>
      <c r="K74" s="52"/>
      <c r="L74" s="52"/>
      <c r="M74" s="37"/>
      <c r="N74" s="80"/>
      <c r="O74" s="36"/>
      <c r="P74" s="36"/>
      <c r="Q74" s="36"/>
      <c r="R74" s="36">
        <v>1</v>
      </c>
    </row>
    <row r="75" spans="1:18">
      <c r="A75" s="121"/>
      <c r="B75" s="43" t="s">
        <v>128</v>
      </c>
      <c r="C75" s="43"/>
      <c r="D75" s="43"/>
      <c r="E75" s="43"/>
      <c r="F75" s="43"/>
      <c r="G75" s="43"/>
      <c r="H75" s="52"/>
      <c r="I75" s="52"/>
      <c r="J75" s="52"/>
      <c r="K75" s="52"/>
      <c r="L75" s="52"/>
      <c r="M75" s="37"/>
      <c r="N75" s="80"/>
      <c r="O75" s="36"/>
      <c r="P75" s="36"/>
      <c r="Q75" s="36"/>
      <c r="R75" s="36">
        <v>1</v>
      </c>
    </row>
    <row r="76" spans="1:18">
      <c r="A76" s="121"/>
      <c r="B76" s="43" t="s">
        <v>129</v>
      </c>
      <c r="C76" s="43"/>
      <c r="D76" s="43"/>
      <c r="E76" s="43"/>
      <c r="F76" s="43"/>
      <c r="G76" s="43"/>
      <c r="H76" s="52"/>
      <c r="I76" s="52"/>
      <c r="J76" s="52"/>
      <c r="K76" s="52"/>
      <c r="L76" s="52"/>
      <c r="M76" s="37"/>
      <c r="N76" s="80"/>
      <c r="O76" s="36"/>
      <c r="P76" s="36"/>
      <c r="Q76" s="36"/>
      <c r="R76" s="36">
        <v>1</v>
      </c>
    </row>
    <row r="77" spans="1:18">
      <c r="A77" s="121"/>
      <c r="B77" s="43" t="s">
        <v>130</v>
      </c>
      <c r="C77" s="43"/>
      <c r="D77" s="43"/>
      <c r="E77" s="43"/>
      <c r="F77" s="43"/>
      <c r="G77" s="43"/>
      <c r="H77" s="52"/>
      <c r="I77" s="52"/>
      <c r="J77" s="52"/>
      <c r="K77" s="52"/>
      <c r="L77" s="52"/>
      <c r="M77" s="37"/>
      <c r="N77" s="80"/>
      <c r="O77" s="36"/>
      <c r="P77" s="36"/>
      <c r="Q77" s="36"/>
      <c r="R77" s="36">
        <v>1</v>
      </c>
    </row>
    <row r="78" spans="1:18">
      <c r="A78" s="121"/>
      <c r="B78" s="43" t="s">
        <v>131</v>
      </c>
      <c r="C78" s="43"/>
      <c r="D78" s="43"/>
      <c r="E78" s="43"/>
      <c r="F78" s="43"/>
      <c r="G78" s="43"/>
      <c r="H78" s="52"/>
      <c r="I78" s="52"/>
      <c r="J78" s="52"/>
      <c r="K78" s="52"/>
      <c r="L78" s="52"/>
      <c r="M78" s="37"/>
      <c r="N78" s="80"/>
      <c r="O78" s="36"/>
      <c r="P78" s="36"/>
      <c r="Q78" s="36"/>
      <c r="R78" s="36">
        <v>2</v>
      </c>
    </row>
    <row r="79" spans="1:18">
      <c r="A79" s="121"/>
      <c r="B79" s="43" t="s">
        <v>132</v>
      </c>
      <c r="C79" s="43"/>
      <c r="D79" s="43"/>
      <c r="E79" s="43"/>
      <c r="F79" s="43"/>
      <c r="G79" s="43"/>
      <c r="H79" s="52"/>
      <c r="I79" s="52"/>
      <c r="J79" s="52"/>
      <c r="K79" s="52"/>
      <c r="L79" s="52"/>
      <c r="M79" s="37"/>
      <c r="N79" s="80"/>
      <c r="O79" s="36"/>
      <c r="P79" s="36"/>
      <c r="Q79" s="36"/>
      <c r="R79" s="36">
        <v>1</v>
      </c>
    </row>
    <row r="80" spans="1:18">
      <c r="A80" s="121"/>
      <c r="B80" s="43" t="s">
        <v>133</v>
      </c>
      <c r="C80" s="43"/>
      <c r="D80" s="43"/>
      <c r="E80" s="43"/>
      <c r="F80" s="43"/>
      <c r="G80" s="43"/>
      <c r="H80" s="52"/>
      <c r="I80" s="52"/>
      <c r="J80" s="52"/>
      <c r="K80" s="52"/>
      <c r="L80" s="52"/>
      <c r="M80" s="37"/>
      <c r="N80" s="80"/>
      <c r="O80" s="36"/>
      <c r="P80" s="36"/>
      <c r="Q80" s="36"/>
      <c r="R80" s="36">
        <v>1</v>
      </c>
    </row>
    <row r="81" spans="1:18">
      <c r="A81" s="121"/>
      <c r="B81" s="43" t="s">
        <v>134</v>
      </c>
      <c r="C81" s="43"/>
      <c r="D81" s="43"/>
      <c r="E81" s="43"/>
      <c r="F81" s="43"/>
      <c r="G81" s="43"/>
      <c r="H81" s="52"/>
      <c r="I81" s="52"/>
      <c r="J81" s="52"/>
      <c r="K81" s="52"/>
      <c r="L81" s="52"/>
      <c r="M81" s="37"/>
      <c r="N81" s="80"/>
      <c r="O81" s="36"/>
      <c r="P81" s="36"/>
      <c r="Q81" s="36"/>
      <c r="R81" s="36">
        <v>6</v>
      </c>
    </row>
    <row r="82" spans="1:18">
      <c r="A82" s="121"/>
      <c r="B82" s="43" t="s">
        <v>135</v>
      </c>
      <c r="C82" s="43"/>
      <c r="D82" s="43"/>
      <c r="E82" s="43"/>
      <c r="F82" s="43"/>
      <c r="G82" s="43"/>
      <c r="H82" s="52"/>
      <c r="I82" s="52"/>
      <c r="J82" s="52"/>
      <c r="K82" s="52"/>
      <c r="L82" s="52"/>
      <c r="M82" s="37"/>
      <c r="N82" s="80"/>
      <c r="O82" s="36"/>
      <c r="P82" s="36"/>
      <c r="Q82" s="36"/>
      <c r="R82" s="36">
        <v>1</v>
      </c>
    </row>
    <row r="83" spans="1:18">
      <c r="A83" s="121"/>
      <c r="B83" s="43" t="s">
        <v>136</v>
      </c>
      <c r="C83" s="43"/>
      <c r="D83" s="43"/>
      <c r="E83" s="43"/>
      <c r="F83" s="43"/>
      <c r="G83" s="43"/>
      <c r="H83" s="52"/>
      <c r="I83" s="52"/>
      <c r="J83" s="52"/>
      <c r="K83" s="52"/>
      <c r="L83" s="52"/>
      <c r="M83" s="37"/>
      <c r="N83" s="80"/>
      <c r="O83" s="36"/>
      <c r="P83" s="36"/>
      <c r="Q83" s="36"/>
      <c r="R83" s="36">
        <v>6</v>
      </c>
    </row>
    <row r="84" spans="1:18">
      <c r="A84" s="121"/>
      <c r="B84" s="43" t="s">
        <v>137</v>
      </c>
      <c r="C84" s="43"/>
      <c r="D84" s="43"/>
      <c r="E84" s="43"/>
      <c r="F84" s="43"/>
      <c r="G84" s="43"/>
      <c r="H84" s="52"/>
      <c r="I84" s="52"/>
      <c r="J84" s="52"/>
      <c r="K84" s="52"/>
      <c r="L84" s="52"/>
      <c r="M84" s="37"/>
      <c r="N84" s="80"/>
      <c r="O84" s="36"/>
      <c r="P84" s="36"/>
      <c r="Q84" s="36"/>
      <c r="R84" s="36">
        <v>1</v>
      </c>
    </row>
    <row r="85" spans="1:18">
      <c r="A85" s="121"/>
      <c r="B85" s="43" t="s">
        <v>138</v>
      </c>
      <c r="C85" s="43"/>
      <c r="D85" s="43"/>
      <c r="E85" s="43"/>
      <c r="F85" s="43"/>
      <c r="G85" s="43"/>
      <c r="H85" s="52"/>
      <c r="I85" s="52"/>
      <c r="J85" s="52"/>
      <c r="K85" s="52"/>
      <c r="L85" s="52"/>
      <c r="M85" s="37"/>
      <c r="N85" s="80"/>
      <c r="O85" s="36"/>
      <c r="P85" s="36"/>
      <c r="Q85" s="36"/>
      <c r="R85" s="36">
        <v>8</v>
      </c>
    </row>
    <row r="86" spans="1:18">
      <c r="A86" s="121"/>
      <c r="B86" s="43" t="s">
        <v>139</v>
      </c>
      <c r="C86" s="43"/>
      <c r="D86" s="43"/>
      <c r="E86" s="43"/>
      <c r="F86" s="43"/>
      <c r="G86" s="43"/>
      <c r="H86" s="52"/>
      <c r="I86" s="52"/>
      <c r="J86" s="52"/>
      <c r="K86" s="52"/>
      <c r="L86" s="52"/>
      <c r="M86" s="37"/>
      <c r="N86" s="80"/>
      <c r="O86" s="36"/>
      <c r="P86" s="36"/>
      <c r="Q86" s="36"/>
      <c r="R86" s="36">
        <v>1</v>
      </c>
    </row>
    <row r="87" spans="1:18">
      <c r="A87" s="121"/>
      <c r="B87" s="43" t="s">
        <v>140</v>
      </c>
      <c r="C87" s="43"/>
      <c r="D87" s="43"/>
      <c r="E87" s="43"/>
      <c r="F87" s="43"/>
      <c r="G87" s="43"/>
      <c r="H87" s="52"/>
      <c r="I87" s="52"/>
      <c r="J87" s="52"/>
      <c r="K87" s="52"/>
      <c r="L87" s="52"/>
      <c r="M87" s="37"/>
      <c r="N87" s="80"/>
      <c r="O87" s="36"/>
      <c r="P87" s="36"/>
      <c r="Q87" s="36"/>
      <c r="R87" s="36">
        <v>3</v>
      </c>
    </row>
    <row r="88" spans="1:18">
      <c r="A88" s="121"/>
      <c r="B88" s="43" t="s">
        <v>141</v>
      </c>
      <c r="C88" s="43"/>
      <c r="D88" s="43"/>
      <c r="E88" s="43"/>
      <c r="F88" s="43"/>
      <c r="G88" s="43"/>
      <c r="H88" s="52"/>
      <c r="I88" s="52"/>
      <c r="J88" s="52"/>
      <c r="K88" s="52"/>
      <c r="L88" s="52"/>
      <c r="M88" s="37"/>
      <c r="N88" s="80"/>
      <c r="O88" s="36"/>
      <c r="P88" s="36"/>
      <c r="Q88" s="36"/>
      <c r="R88" s="36">
        <v>1</v>
      </c>
    </row>
    <row r="89" spans="1:18">
      <c r="A89" s="121"/>
      <c r="B89" s="43" t="s">
        <v>142</v>
      </c>
      <c r="C89" s="43"/>
      <c r="D89" s="43"/>
      <c r="E89" s="43"/>
      <c r="F89" s="43"/>
      <c r="G89" s="43"/>
      <c r="H89" s="52"/>
      <c r="I89" s="52"/>
      <c r="J89" s="52"/>
      <c r="K89" s="52"/>
      <c r="L89" s="52"/>
      <c r="M89" s="37"/>
      <c r="N89" s="80"/>
      <c r="O89" s="36"/>
      <c r="P89" s="36"/>
      <c r="Q89" s="36"/>
      <c r="R89" s="36">
        <v>2</v>
      </c>
    </row>
    <row r="90" spans="1:18">
      <c r="A90" s="52"/>
      <c r="B90" s="44"/>
      <c r="C90" s="44"/>
      <c r="D90" s="44"/>
      <c r="E90" s="44"/>
      <c r="F90" s="44"/>
      <c r="G90" s="44"/>
      <c r="H90" s="52"/>
      <c r="I90" s="52"/>
      <c r="J90" s="52"/>
      <c r="K90" s="52"/>
      <c r="L90" s="52"/>
      <c r="M90" s="37"/>
      <c r="N90" s="80"/>
      <c r="O90" s="36"/>
      <c r="P90" s="36"/>
      <c r="Q90" s="36" t="s">
        <v>5</v>
      </c>
      <c r="R90" s="36">
        <f>SUM(R57:R89)</f>
        <v>59.5</v>
      </c>
    </row>
    <row r="93" ht="18" customHeight="1" spans="1:18">
      <c r="A93" s="132" t="s">
        <v>143</v>
      </c>
      <c r="B93" s="126" t="s">
        <v>144</v>
      </c>
      <c r="C93" s="127"/>
      <c r="D93" s="127"/>
      <c r="E93" s="127"/>
      <c r="F93" s="127"/>
      <c r="G93" s="128"/>
      <c r="H93" s="78"/>
      <c r="I93" s="79"/>
      <c r="J93" s="52"/>
      <c r="K93" s="52"/>
      <c r="L93" s="78" t="s">
        <v>15</v>
      </c>
      <c r="M93" s="79"/>
      <c r="N93" s="80"/>
      <c r="O93" s="36"/>
      <c r="P93" s="36"/>
      <c r="Q93" s="133"/>
      <c r="R93" s="36">
        <v>1</v>
      </c>
    </row>
    <row r="94" ht="18" customHeight="1" spans="1:18">
      <c r="A94" s="134"/>
      <c r="B94" s="126" t="s">
        <v>110</v>
      </c>
      <c r="C94" s="127"/>
      <c r="D94" s="127"/>
      <c r="E94" s="127"/>
      <c r="F94" s="127"/>
      <c r="G94" s="128"/>
      <c r="H94" s="78"/>
      <c r="I94" s="79"/>
      <c r="J94" s="52"/>
      <c r="K94" s="52"/>
      <c r="L94" s="78" t="s">
        <v>15</v>
      </c>
      <c r="M94" s="79"/>
      <c r="N94" s="80"/>
      <c r="O94" s="36"/>
      <c r="P94" s="36"/>
      <c r="Q94" s="133"/>
      <c r="R94" s="36">
        <v>2</v>
      </c>
    </row>
    <row r="95" ht="18" customHeight="1" spans="1:18">
      <c r="A95" s="134"/>
      <c r="B95" s="126" t="s">
        <v>111</v>
      </c>
      <c r="C95" s="127"/>
      <c r="D95" s="127"/>
      <c r="E95" s="127"/>
      <c r="F95" s="127"/>
      <c r="G95" s="128"/>
      <c r="H95" s="78"/>
      <c r="I95" s="79"/>
      <c r="J95" s="52"/>
      <c r="K95" s="52"/>
      <c r="L95" s="78" t="s">
        <v>15</v>
      </c>
      <c r="M95" s="79"/>
      <c r="N95" s="80"/>
      <c r="O95" s="36"/>
      <c r="P95" s="36"/>
      <c r="Q95" s="133"/>
      <c r="R95" s="36">
        <v>2</v>
      </c>
    </row>
    <row r="96" ht="18" customHeight="1" spans="1:18">
      <c r="A96" s="134"/>
      <c r="B96" s="126" t="s">
        <v>112</v>
      </c>
      <c r="C96" s="127"/>
      <c r="D96" s="127"/>
      <c r="E96" s="127"/>
      <c r="F96" s="127"/>
      <c r="G96" s="128"/>
      <c r="H96" s="78"/>
      <c r="I96" s="79"/>
      <c r="J96" s="52"/>
      <c r="K96" s="52"/>
      <c r="L96" s="78" t="s">
        <v>15</v>
      </c>
      <c r="M96" s="79"/>
      <c r="N96" s="80"/>
      <c r="O96" s="36"/>
      <c r="P96" s="36"/>
      <c r="Q96" s="133"/>
      <c r="R96" s="36">
        <v>1</v>
      </c>
    </row>
    <row r="97" ht="34" customHeight="1" spans="1:18">
      <c r="A97" s="134"/>
      <c r="B97" s="126" t="s">
        <v>145</v>
      </c>
      <c r="C97" s="127"/>
      <c r="D97" s="127"/>
      <c r="E97" s="127"/>
      <c r="F97" s="127"/>
      <c r="G97" s="128"/>
      <c r="H97" s="78"/>
      <c r="I97" s="79"/>
      <c r="J97" s="52"/>
      <c r="K97" s="52"/>
      <c r="L97" s="78" t="s">
        <v>15</v>
      </c>
      <c r="M97" s="79"/>
      <c r="N97" s="80"/>
      <c r="O97" s="36"/>
      <c r="P97" s="36"/>
      <c r="Q97" s="133"/>
      <c r="R97" s="36">
        <v>2</v>
      </c>
    </row>
    <row r="98" ht="34" customHeight="1" spans="1:18">
      <c r="A98" s="134"/>
      <c r="B98" s="126" t="s">
        <v>146</v>
      </c>
      <c r="C98" s="127"/>
      <c r="D98" s="127"/>
      <c r="E98" s="127"/>
      <c r="F98" s="127"/>
      <c r="G98" s="128"/>
      <c r="H98" s="78"/>
      <c r="I98" s="79"/>
      <c r="J98" s="52"/>
      <c r="K98" s="52"/>
      <c r="L98" s="78" t="s">
        <v>15</v>
      </c>
      <c r="M98" s="79"/>
      <c r="N98" s="80"/>
      <c r="O98" s="36"/>
      <c r="P98" s="36"/>
      <c r="Q98" s="133"/>
      <c r="R98" s="36">
        <v>6</v>
      </c>
    </row>
    <row r="99" ht="33" customHeight="1" spans="1:18">
      <c r="A99" s="134"/>
      <c r="B99" s="126" t="s">
        <v>147</v>
      </c>
      <c r="C99" s="127"/>
      <c r="D99" s="127"/>
      <c r="E99" s="127"/>
      <c r="F99" s="127"/>
      <c r="G99" s="128"/>
      <c r="H99" s="78"/>
      <c r="I99" s="79"/>
      <c r="J99" s="52"/>
      <c r="K99" s="52"/>
      <c r="L99" s="78" t="s">
        <v>15</v>
      </c>
      <c r="M99" s="79"/>
      <c r="N99" s="80"/>
      <c r="O99" s="36"/>
      <c r="P99" s="36"/>
      <c r="Q99" s="133"/>
      <c r="R99" s="36">
        <v>2</v>
      </c>
    </row>
    <row r="100" ht="18" customHeight="1" spans="1:18">
      <c r="A100" s="134"/>
      <c r="B100" s="126" t="s">
        <v>148</v>
      </c>
      <c r="C100" s="127"/>
      <c r="D100" s="127"/>
      <c r="E100" s="127"/>
      <c r="F100" s="127"/>
      <c r="G100" s="128"/>
      <c r="H100" s="78"/>
      <c r="I100" s="79"/>
      <c r="J100" s="52"/>
      <c r="K100" s="52"/>
      <c r="L100" s="78" t="s">
        <v>15</v>
      </c>
      <c r="M100" s="79"/>
      <c r="N100" s="80"/>
      <c r="O100" s="36"/>
      <c r="P100" s="36"/>
      <c r="Q100" s="133"/>
      <c r="R100" s="36">
        <v>2</v>
      </c>
    </row>
    <row r="101" ht="18" customHeight="1" spans="1:18">
      <c r="A101" s="134"/>
      <c r="B101" s="126" t="s">
        <v>149</v>
      </c>
      <c r="C101" s="127"/>
      <c r="D101" s="127"/>
      <c r="E101" s="127"/>
      <c r="F101" s="127"/>
      <c r="G101" s="128"/>
      <c r="H101" s="78"/>
      <c r="I101" s="79"/>
      <c r="J101" s="52"/>
      <c r="K101" s="52"/>
      <c r="L101" s="78" t="s">
        <v>15</v>
      </c>
      <c r="M101" s="79"/>
      <c r="N101" s="80"/>
      <c r="O101" s="36"/>
      <c r="P101" s="36"/>
      <c r="Q101" s="133"/>
      <c r="R101" s="36">
        <v>2</v>
      </c>
    </row>
    <row r="102" ht="18" customHeight="1" spans="1:18">
      <c r="A102" s="134"/>
      <c r="B102" s="126" t="s">
        <v>150</v>
      </c>
      <c r="C102" s="127"/>
      <c r="D102" s="127"/>
      <c r="E102" s="127"/>
      <c r="F102" s="127"/>
      <c r="G102" s="128"/>
      <c r="H102" s="78"/>
      <c r="I102" s="79"/>
      <c r="J102" s="52"/>
      <c r="K102" s="52"/>
      <c r="L102" s="78" t="s">
        <v>15</v>
      </c>
      <c r="M102" s="79"/>
      <c r="N102" s="80"/>
      <c r="O102" s="36"/>
      <c r="P102" s="36"/>
      <c r="Q102" s="133"/>
      <c r="R102" s="36">
        <v>1</v>
      </c>
    </row>
    <row r="103" ht="18" customHeight="1" spans="1:18">
      <c r="A103" s="134"/>
      <c r="B103" s="126" t="s">
        <v>151</v>
      </c>
      <c r="C103" s="127"/>
      <c r="D103" s="127"/>
      <c r="E103" s="127"/>
      <c r="F103" s="127"/>
      <c r="G103" s="128"/>
      <c r="H103" s="78"/>
      <c r="I103" s="79"/>
      <c r="J103" s="52"/>
      <c r="K103" s="52"/>
      <c r="L103" s="78" t="s">
        <v>15</v>
      </c>
      <c r="M103" s="79"/>
      <c r="N103" s="80"/>
      <c r="O103" s="36"/>
      <c r="P103" s="36"/>
      <c r="Q103" s="133"/>
      <c r="R103" s="36">
        <v>2</v>
      </c>
    </row>
    <row r="104" ht="18" customHeight="1" spans="1:18">
      <c r="A104" s="134"/>
      <c r="B104" s="126" t="s">
        <v>128</v>
      </c>
      <c r="C104" s="127"/>
      <c r="D104" s="127"/>
      <c r="E104" s="127"/>
      <c r="F104" s="127"/>
      <c r="G104" s="128"/>
      <c r="H104" s="78"/>
      <c r="I104" s="79"/>
      <c r="J104" s="52"/>
      <c r="K104" s="52"/>
      <c r="L104" s="78" t="s">
        <v>15</v>
      </c>
      <c r="M104" s="79"/>
      <c r="N104" s="80"/>
      <c r="O104" s="36"/>
      <c r="P104" s="36"/>
      <c r="Q104" s="133"/>
      <c r="R104" s="36">
        <v>1</v>
      </c>
    </row>
    <row r="105" ht="18" customHeight="1" spans="1:18">
      <c r="A105" s="134"/>
      <c r="B105" s="126" t="s">
        <v>129</v>
      </c>
      <c r="C105" s="127"/>
      <c r="D105" s="127"/>
      <c r="E105" s="127"/>
      <c r="F105" s="127"/>
      <c r="G105" s="128"/>
      <c r="H105" s="78"/>
      <c r="I105" s="79"/>
      <c r="J105" s="52"/>
      <c r="K105" s="52"/>
      <c r="L105" s="78" t="s">
        <v>15</v>
      </c>
      <c r="M105" s="79"/>
      <c r="N105" s="80"/>
      <c r="O105" s="36"/>
      <c r="P105" s="36"/>
      <c r="Q105" s="133"/>
      <c r="R105" s="36">
        <v>1</v>
      </c>
    </row>
    <row r="106" ht="18" customHeight="1" spans="1:18">
      <c r="A106" s="134"/>
      <c r="B106" s="126" t="s">
        <v>152</v>
      </c>
      <c r="C106" s="127"/>
      <c r="D106" s="127"/>
      <c r="E106" s="127"/>
      <c r="F106" s="127"/>
      <c r="G106" s="128"/>
      <c r="H106" s="78"/>
      <c r="I106" s="79"/>
      <c r="J106" s="52"/>
      <c r="K106" s="52"/>
      <c r="L106" s="78" t="s">
        <v>15</v>
      </c>
      <c r="M106" s="79"/>
      <c r="N106" s="80"/>
      <c r="O106" s="36"/>
      <c r="P106" s="36"/>
      <c r="Q106" s="133"/>
      <c r="R106" s="36">
        <v>3</v>
      </c>
    </row>
    <row r="107" ht="18" customHeight="1" spans="1:18">
      <c r="A107" s="134"/>
      <c r="B107" s="126" t="s">
        <v>153</v>
      </c>
      <c r="C107" s="127"/>
      <c r="D107" s="127"/>
      <c r="E107" s="127"/>
      <c r="F107" s="127"/>
      <c r="G107" s="128"/>
      <c r="H107" s="78"/>
      <c r="I107" s="79"/>
      <c r="J107" s="52"/>
      <c r="K107" s="52"/>
      <c r="L107" s="78" t="s">
        <v>15</v>
      </c>
      <c r="M107" s="79"/>
      <c r="N107" s="80"/>
      <c r="O107" s="36"/>
      <c r="P107" s="36"/>
      <c r="Q107" s="133"/>
      <c r="R107" s="36">
        <v>2</v>
      </c>
    </row>
    <row r="108" ht="18" customHeight="1" spans="1:18">
      <c r="A108" s="134"/>
      <c r="B108" s="126" t="s">
        <v>134</v>
      </c>
      <c r="C108" s="127"/>
      <c r="D108" s="127"/>
      <c r="E108" s="127"/>
      <c r="F108" s="127"/>
      <c r="G108" s="128"/>
      <c r="H108" s="78"/>
      <c r="I108" s="79"/>
      <c r="J108" s="52"/>
      <c r="K108" s="52"/>
      <c r="L108" s="78" t="s">
        <v>15</v>
      </c>
      <c r="M108" s="79"/>
      <c r="N108" s="80"/>
      <c r="O108" s="36"/>
      <c r="P108" s="36"/>
      <c r="Q108" s="133"/>
      <c r="R108" s="36">
        <v>8</v>
      </c>
    </row>
    <row r="109" ht="18" customHeight="1" spans="1:18">
      <c r="A109" s="134"/>
      <c r="B109" s="126" t="s">
        <v>154</v>
      </c>
      <c r="C109" s="127"/>
      <c r="D109" s="127"/>
      <c r="E109" s="127"/>
      <c r="F109" s="127"/>
      <c r="G109" s="128"/>
      <c r="H109" s="78"/>
      <c r="I109" s="79"/>
      <c r="J109" s="52"/>
      <c r="K109" s="52"/>
      <c r="L109" s="78" t="s">
        <v>15</v>
      </c>
      <c r="M109" s="79"/>
      <c r="N109" s="80"/>
      <c r="O109" s="36"/>
      <c r="P109" s="36"/>
      <c r="Q109" s="133"/>
      <c r="R109" s="36">
        <v>8</v>
      </c>
    </row>
    <row r="110" ht="18" customHeight="1" spans="1:18">
      <c r="A110" s="134"/>
      <c r="B110" s="126" t="s">
        <v>155</v>
      </c>
      <c r="C110" s="127"/>
      <c r="D110" s="127"/>
      <c r="E110" s="127"/>
      <c r="F110" s="127"/>
      <c r="G110" s="128"/>
      <c r="H110" s="78"/>
      <c r="I110" s="79"/>
      <c r="J110" s="52"/>
      <c r="K110" s="52"/>
      <c r="L110" s="78" t="s">
        <v>15</v>
      </c>
      <c r="M110" s="79"/>
      <c r="N110" s="80"/>
      <c r="O110" s="36"/>
      <c r="P110" s="36"/>
      <c r="Q110" s="133"/>
      <c r="R110" s="36">
        <v>8</v>
      </c>
    </row>
    <row r="111" ht="18" customHeight="1" spans="1:18">
      <c r="A111" s="129"/>
      <c r="B111" s="126" t="s">
        <v>156</v>
      </c>
      <c r="C111" s="127"/>
      <c r="D111" s="127"/>
      <c r="E111" s="127"/>
      <c r="F111" s="127"/>
      <c r="G111" s="128"/>
      <c r="H111" s="78"/>
      <c r="I111" s="79"/>
      <c r="J111" s="52"/>
      <c r="K111" s="52"/>
      <c r="L111" s="78" t="s">
        <v>15</v>
      </c>
      <c r="M111" s="79"/>
      <c r="N111" s="80"/>
      <c r="O111" s="36"/>
      <c r="P111" s="36"/>
      <c r="Q111" s="133"/>
      <c r="R111" s="36">
        <v>5</v>
      </c>
    </row>
  </sheetData>
  <mergeCells count="452">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A52:N52"/>
    <mergeCell ref="A53:N53"/>
    <mergeCell ref="O53:Q53"/>
    <mergeCell ref="U53:W53"/>
    <mergeCell ref="B54:G54"/>
    <mergeCell ref="H54:I54"/>
    <mergeCell ref="J54:K54"/>
    <mergeCell ref="L54:M54"/>
    <mergeCell ref="B55:G55"/>
    <mergeCell ref="H55:I55"/>
    <mergeCell ref="J55:K55"/>
    <mergeCell ref="L55:M55"/>
    <mergeCell ref="A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A6:A12"/>
    <mergeCell ref="A15:A16"/>
    <mergeCell ref="A17:A28"/>
    <mergeCell ref="A29:A30"/>
    <mergeCell ref="A32:A34"/>
    <mergeCell ref="A38:A40"/>
    <mergeCell ref="A48:A49"/>
    <mergeCell ref="A57:A89"/>
    <mergeCell ref="A93:A111"/>
    <mergeCell ref="Q6:Q9"/>
    <mergeCell ref="Q10:Q11"/>
    <mergeCell ref="Q15:Q16"/>
    <mergeCell ref="Q25:Q27"/>
    <mergeCell ref="Q29:Q30"/>
    <mergeCell ref="Q32:Q34"/>
    <mergeCell ref="Q36:Q37"/>
    <mergeCell ref="Q38:Q40"/>
    <mergeCell ref="Q48:Q49"/>
    <mergeCell ref="R1:R4"/>
    <mergeCell ref="R15:R16"/>
    <mergeCell ref="R39:R40"/>
    <mergeCell ref="W6:W9"/>
    <mergeCell ref="W10:W11"/>
    <mergeCell ref="W15:W16"/>
    <mergeCell ref="W25:W27"/>
    <mergeCell ref="W29:W30"/>
    <mergeCell ref="W32:W34"/>
    <mergeCell ref="W36:W37"/>
    <mergeCell ref="W38:W40"/>
    <mergeCell ref="W48:W49"/>
    <mergeCell ref="X1:X4"/>
    <mergeCell ref="X15:X16"/>
    <mergeCell ref="X39:X40"/>
    <mergeCell ref="A1:N4"/>
    <mergeCell ref="O1:Q4"/>
    <mergeCell ref="U1:W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6"/>
  <sheetViews>
    <sheetView zoomScale="70" zoomScaleNormal="70" topLeftCell="B1" workbookViewId="0">
      <pane ySplit="5" topLeftCell="A6" activePane="bottomLeft" state="frozen"/>
      <selection/>
      <selection pane="bottomLeft" activeCell="V14" sqref="V14:X14"/>
    </sheetView>
  </sheetViews>
  <sheetFormatPr defaultColWidth="8.71666666666667" defaultRowHeight="13.5"/>
  <cols>
    <col min="1" max="1" width="23.6916666666667" style="37" customWidth="1"/>
    <col min="2" max="2" width="19.1583333333333" style="37" customWidth="1"/>
    <col min="3" max="8" width="8.71666666666667" style="44"/>
    <col min="9" max="12" width="8.71666666666667" style="37"/>
    <col min="13" max="14" width="8.71666666666667" style="45"/>
    <col min="15" max="15" width="40.4083333333333" style="45" customWidth="1"/>
    <col min="16" max="16384" width="8.71666666666667" style="36"/>
  </cols>
  <sheetData>
    <row r="1" spans="1:24">
      <c r="A1" s="88" t="s">
        <v>157</v>
      </c>
      <c r="B1" s="89"/>
      <c r="C1" s="89"/>
      <c r="D1" s="89"/>
      <c r="E1" s="89"/>
      <c r="F1" s="89"/>
      <c r="G1" s="89"/>
      <c r="H1" s="89"/>
      <c r="I1" s="89"/>
      <c r="J1" s="89"/>
      <c r="K1" s="89"/>
      <c r="L1" s="89"/>
      <c r="M1" s="89"/>
      <c r="N1" s="89"/>
      <c r="O1" s="89"/>
      <c r="P1" s="89"/>
      <c r="Q1" s="89"/>
      <c r="R1" s="90"/>
    </row>
    <row r="2" spans="1:24">
      <c r="A2" s="91"/>
      <c r="B2" s="92"/>
      <c r="C2" s="92"/>
      <c r="D2" s="92"/>
      <c r="E2" s="92"/>
      <c r="F2" s="92"/>
      <c r="G2" s="92"/>
      <c r="H2" s="92"/>
      <c r="I2" s="92"/>
      <c r="J2" s="92"/>
      <c r="K2" s="92"/>
      <c r="L2" s="92"/>
      <c r="M2" s="92"/>
      <c r="N2" s="92"/>
      <c r="O2" s="92"/>
      <c r="P2" s="92"/>
      <c r="Q2" s="92"/>
      <c r="R2" s="93"/>
    </row>
    <row r="3" spans="1:24">
      <c r="A3" s="91"/>
      <c r="B3" s="92"/>
      <c r="C3" s="92"/>
      <c r="D3" s="92"/>
      <c r="E3" s="92"/>
      <c r="F3" s="92"/>
      <c r="G3" s="92"/>
      <c r="H3" s="92"/>
      <c r="I3" s="92"/>
      <c r="J3" s="92"/>
      <c r="K3" s="92"/>
      <c r="L3" s="92"/>
      <c r="M3" s="92"/>
      <c r="N3" s="92"/>
      <c r="O3" s="92"/>
      <c r="P3" s="92"/>
      <c r="Q3" s="92"/>
      <c r="R3" s="93"/>
    </row>
    <row r="4" spans="1:24">
      <c r="A4" s="94"/>
      <c r="B4" s="95"/>
      <c r="C4" s="95"/>
      <c r="D4" s="95"/>
      <c r="E4" s="95"/>
      <c r="F4" s="95"/>
      <c r="G4" s="95"/>
      <c r="H4" s="95"/>
      <c r="I4" s="95"/>
      <c r="J4" s="95"/>
      <c r="K4" s="95"/>
      <c r="L4" s="95"/>
      <c r="M4" s="95"/>
      <c r="N4" s="95"/>
      <c r="O4" s="95"/>
      <c r="P4" s="95"/>
      <c r="Q4" s="95"/>
      <c r="R4" s="96"/>
    </row>
    <row r="5" spans="1:24">
      <c r="A5" s="97" t="s">
        <v>158</v>
      </c>
      <c r="B5" s="98" t="s">
        <v>16</v>
      </c>
      <c r="C5" s="98" t="s">
        <v>17</v>
      </c>
      <c r="D5" s="98"/>
      <c r="E5" s="98"/>
      <c r="F5" s="98"/>
      <c r="G5" s="98"/>
      <c r="H5" s="98"/>
      <c r="I5" s="98" t="s">
        <v>18</v>
      </c>
      <c r="J5" s="98"/>
      <c r="K5" s="98" t="s">
        <v>19</v>
      </c>
      <c r="L5" s="98"/>
      <c r="M5" s="98" t="s">
        <v>20</v>
      </c>
      <c r="N5" s="97"/>
      <c r="O5" s="98" t="s">
        <v>21</v>
      </c>
      <c r="P5" s="98" t="s">
        <v>159</v>
      </c>
      <c r="Q5" s="98" t="s">
        <v>160</v>
      </c>
      <c r="R5" s="98" t="s">
        <v>161</v>
      </c>
      <c r="V5" s="98" t="s">
        <v>159</v>
      </c>
      <c r="W5" s="98" t="s">
        <v>160</v>
      </c>
      <c r="X5" s="98" t="s">
        <v>161</v>
      </c>
    </row>
    <row r="6" ht="102" customHeight="1" spans="1:24">
      <c r="A6" s="37" t="s">
        <v>162</v>
      </c>
      <c r="B6" s="47" t="s">
        <v>163</v>
      </c>
      <c r="C6" s="44" t="s">
        <v>164</v>
      </c>
      <c r="I6" s="37" t="s">
        <v>70</v>
      </c>
      <c r="K6" s="37" t="s">
        <v>26</v>
      </c>
      <c r="P6" s="36">
        <v>3</v>
      </c>
      <c r="Q6" s="36">
        <v>3</v>
      </c>
      <c r="R6" s="47">
        <v>2</v>
      </c>
      <c r="V6" s="36">
        <v>2</v>
      </c>
      <c r="W6" s="36">
        <v>2</v>
      </c>
      <c r="X6" s="47">
        <v>2</v>
      </c>
    </row>
    <row r="7" ht="33" customHeight="1" spans="1:24">
      <c r="B7" s="48"/>
      <c r="C7" s="44" t="s">
        <v>165</v>
      </c>
      <c r="P7" s="36">
        <v>4</v>
      </c>
      <c r="Q7" s="36">
        <v>3</v>
      </c>
      <c r="R7" s="48"/>
      <c r="V7" s="36">
        <v>2</v>
      </c>
      <c r="W7" s="36">
        <v>2</v>
      </c>
      <c r="X7" s="48"/>
    </row>
    <row r="8" ht="44" customHeight="1" spans="1:24">
      <c r="B8" s="48"/>
      <c r="C8" s="44" t="s">
        <v>166</v>
      </c>
      <c r="P8" s="36">
        <v>2</v>
      </c>
      <c r="Q8" s="36">
        <v>3</v>
      </c>
      <c r="R8" s="48"/>
      <c r="V8" s="36">
        <v>2</v>
      </c>
      <c r="W8" s="36">
        <v>2</v>
      </c>
      <c r="X8" s="48"/>
    </row>
    <row r="9" ht="123" customHeight="1" spans="1:24">
      <c r="B9" s="49"/>
      <c r="C9" s="99" t="s">
        <v>167</v>
      </c>
      <c r="D9" s="100"/>
      <c r="E9" s="100"/>
      <c r="F9" s="100"/>
      <c r="G9" s="100"/>
      <c r="H9" s="101"/>
      <c r="I9" s="102"/>
      <c r="J9" s="103"/>
      <c r="K9" s="102"/>
      <c r="L9" s="103"/>
      <c r="M9" s="102"/>
      <c r="N9" s="103"/>
      <c r="O9" s="104" t="s">
        <v>168</v>
      </c>
      <c r="P9" s="36">
        <v>5</v>
      </c>
      <c r="Q9" s="36">
        <v>3</v>
      </c>
      <c r="R9" s="48"/>
      <c r="V9" s="36">
        <v>3</v>
      </c>
      <c r="W9" s="36">
        <v>3</v>
      </c>
      <c r="X9" s="48"/>
    </row>
    <row r="10" ht="50" customHeight="1" spans="1:24">
      <c r="A10" s="37" t="s">
        <v>169</v>
      </c>
      <c r="B10" s="37" t="s">
        <v>170</v>
      </c>
      <c r="C10" s="44" t="s">
        <v>171</v>
      </c>
      <c r="I10" s="37" t="s">
        <v>70</v>
      </c>
      <c r="K10" s="37" t="s">
        <v>26</v>
      </c>
      <c r="P10" s="36">
        <v>1</v>
      </c>
      <c r="Q10" s="36">
        <v>1</v>
      </c>
      <c r="R10" s="49"/>
      <c r="V10" s="36">
        <v>1</v>
      </c>
      <c r="W10" s="36">
        <v>1</v>
      </c>
      <c r="X10" s="49"/>
    </row>
    <row r="11" ht="184" customHeight="1" spans="1:24">
      <c r="A11" s="37" t="s">
        <v>169</v>
      </c>
      <c r="B11" s="37" t="s">
        <v>172</v>
      </c>
      <c r="C11" s="44" t="s">
        <v>34</v>
      </c>
      <c r="I11" s="37" t="s">
        <v>70</v>
      </c>
      <c r="P11" s="36">
        <v>3</v>
      </c>
      <c r="Q11" s="36">
        <v>2</v>
      </c>
      <c r="R11" s="47">
        <v>1</v>
      </c>
      <c r="V11" s="36">
        <v>2</v>
      </c>
      <c r="W11" s="36">
        <v>2</v>
      </c>
      <c r="X11" s="47">
        <v>1</v>
      </c>
    </row>
    <row r="12" ht="41" customHeight="1" spans="1:24">
      <c r="C12" s="44" t="s">
        <v>173</v>
      </c>
      <c r="I12" s="37" t="s">
        <v>70</v>
      </c>
      <c r="K12" s="37" t="s">
        <v>26</v>
      </c>
      <c r="P12" s="36">
        <v>1</v>
      </c>
      <c r="Q12" s="36">
        <v>1</v>
      </c>
      <c r="R12" s="49"/>
      <c r="V12" s="36">
        <v>1</v>
      </c>
      <c r="W12" s="36">
        <v>1</v>
      </c>
      <c r="X12" s="49"/>
    </row>
    <row r="13" ht="18" customHeight="1" spans="1:24">
      <c r="B13" s="85" t="s">
        <v>106</v>
      </c>
      <c r="C13" s="86"/>
      <c r="D13" s="86"/>
      <c r="E13" s="86"/>
      <c r="F13" s="86"/>
      <c r="G13" s="86"/>
      <c r="H13" s="86"/>
      <c r="I13" s="86"/>
      <c r="J13" s="86"/>
      <c r="K13" s="86"/>
      <c r="L13" s="86"/>
      <c r="M13" s="86"/>
      <c r="N13" s="86"/>
      <c r="O13" s="87"/>
      <c r="P13" s="36">
        <f>SUM(P6:P12)</f>
        <v>19</v>
      </c>
      <c r="Q13" s="36">
        <f>SUM(Q6:Q12)</f>
        <v>16</v>
      </c>
      <c r="R13" s="36">
        <f>SUM(R6:R12)</f>
        <v>3</v>
      </c>
      <c r="V13" s="36">
        <f>SUM(V6:V12)</f>
        <v>13</v>
      </c>
      <c r="W13" s="36">
        <f>SUM(W6:W12)</f>
        <v>13</v>
      </c>
      <c r="X13" s="36">
        <f>SUM(X6:X12)</f>
        <v>3</v>
      </c>
    </row>
    <row r="14" ht="18" customHeight="1" spans="1:24">
      <c r="B14" s="85" t="s">
        <v>107</v>
      </c>
      <c r="C14" s="86"/>
      <c r="D14" s="86"/>
      <c r="E14" s="86"/>
      <c r="F14" s="86"/>
      <c r="G14" s="86"/>
      <c r="H14" s="86"/>
      <c r="I14" s="86"/>
      <c r="J14" s="86"/>
      <c r="K14" s="86"/>
      <c r="L14" s="86"/>
      <c r="M14" s="86"/>
      <c r="N14" s="86"/>
      <c r="O14" s="87"/>
      <c r="P14" s="85">
        <f>SUM(P13:R13)</f>
        <v>38</v>
      </c>
      <c r="Q14" s="86"/>
      <c r="R14" s="87"/>
      <c r="V14" s="85">
        <f>SUM(V13:X13)</f>
        <v>29</v>
      </c>
      <c r="W14" s="86"/>
      <c r="X14" s="87"/>
    </row>
  </sheetData>
  <mergeCells count="289">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B13:O13"/>
    <mergeCell ref="B14:O14"/>
    <mergeCell ref="P14:R14"/>
    <mergeCell ref="V14:X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C76:H76"/>
    <mergeCell ref="I76:J76"/>
    <mergeCell ref="K76:L76"/>
    <mergeCell ref="M76:N76"/>
    <mergeCell ref="A6:A8"/>
    <mergeCell ref="A11:A12"/>
    <mergeCell ref="B6:B9"/>
    <mergeCell ref="B11:B12"/>
    <mergeCell ref="R6:R10"/>
    <mergeCell ref="R11:R12"/>
    <mergeCell ref="X6:X10"/>
    <mergeCell ref="X11:X12"/>
    <mergeCell ref="I6:J8"/>
    <mergeCell ref="K6:L8"/>
    <mergeCell ref="A1:R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5"/>
  <sheetViews>
    <sheetView zoomScale="85" zoomScaleNormal="85" topLeftCell="B1" workbookViewId="0">
      <pane ySplit="5" topLeftCell="A10" activePane="bottomLeft" state="frozen"/>
      <selection/>
      <selection pane="bottomLeft" activeCell="P15" sqref="P15:R15"/>
    </sheetView>
  </sheetViews>
  <sheetFormatPr defaultColWidth="8.71666666666667" defaultRowHeight="13.5"/>
  <cols>
    <col min="1" max="1" width="14.9333333333333" style="71" customWidth="1"/>
    <col min="2" max="2" width="18.6916666666667" style="72" customWidth="1"/>
    <col min="3" max="3" width="17.4916666666667" style="72" customWidth="1"/>
    <col min="4" max="4" width="15.05" style="72" customWidth="1"/>
    <col min="5" max="5" width="18.175" style="72" customWidth="1"/>
    <col min="6" max="6" width="15.7333333333333" style="72" customWidth="1"/>
    <col min="7" max="7" width="32.2833333333333" style="72" customWidth="1"/>
    <col min="8" max="8" width="28.2416666666667" style="71" customWidth="1"/>
    <col min="9" max="9" width="27.9666666666667" style="71" customWidth="1"/>
    <col min="10" max="10" width="58.9583333333333" style="73" customWidth="1"/>
  </cols>
  <sheetData>
    <row r="1" spans="1:18">
      <c r="A1" s="74" t="s">
        <v>174</v>
      </c>
      <c r="B1" s="74"/>
      <c r="C1" s="74"/>
      <c r="D1" s="74"/>
      <c r="E1" s="74"/>
      <c r="F1" s="74"/>
      <c r="G1" s="74"/>
      <c r="H1" s="74"/>
      <c r="I1" s="74"/>
      <c r="J1" s="74"/>
      <c r="K1" s="74"/>
      <c r="L1" s="74"/>
      <c r="M1" s="74"/>
    </row>
    <row r="2" spans="1:18">
      <c r="A2" s="74"/>
      <c r="B2" s="74"/>
      <c r="C2" s="74"/>
      <c r="D2" s="74"/>
      <c r="E2" s="74"/>
      <c r="F2" s="74"/>
      <c r="G2" s="74"/>
      <c r="H2" s="74"/>
      <c r="I2" s="74"/>
      <c r="J2" s="74"/>
      <c r="K2" s="74"/>
      <c r="L2" s="74"/>
      <c r="M2" s="74"/>
    </row>
    <row r="3" spans="1:18">
      <c r="A3" s="74"/>
      <c r="B3" s="74"/>
      <c r="C3" s="74"/>
      <c r="D3" s="74"/>
      <c r="E3" s="74"/>
      <c r="F3" s="74"/>
      <c r="G3" s="74"/>
      <c r="H3" s="74"/>
      <c r="I3" s="74"/>
      <c r="J3" s="74"/>
      <c r="K3" s="74"/>
      <c r="L3" s="74"/>
      <c r="M3" s="74"/>
    </row>
    <row r="4" spans="1:18">
      <c r="A4" s="74"/>
      <c r="B4" s="74"/>
      <c r="C4" s="74"/>
      <c r="D4" s="74"/>
      <c r="E4" s="74"/>
      <c r="F4" s="74"/>
      <c r="G4" s="74"/>
      <c r="H4" s="74"/>
      <c r="I4" s="74"/>
      <c r="J4" s="74"/>
      <c r="K4" s="74"/>
      <c r="L4" s="74"/>
      <c r="M4" s="74"/>
    </row>
    <row r="5" ht="58" customHeight="1" spans="1:18">
      <c r="A5" s="75" t="s">
        <v>16</v>
      </c>
      <c r="B5" s="75" t="s">
        <v>17</v>
      </c>
      <c r="C5" s="75"/>
      <c r="D5" s="75"/>
      <c r="E5" s="75"/>
      <c r="F5" s="75"/>
      <c r="G5" s="75"/>
      <c r="H5" s="75" t="s">
        <v>20</v>
      </c>
      <c r="I5" s="75"/>
      <c r="J5" s="75" t="s">
        <v>21</v>
      </c>
      <c r="K5" s="14" t="s">
        <v>159</v>
      </c>
      <c r="L5" s="14" t="s">
        <v>160</v>
      </c>
      <c r="M5" s="14" t="s">
        <v>161</v>
      </c>
      <c r="P5" s="14" t="s">
        <v>159</v>
      </c>
      <c r="Q5" s="14" t="s">
        <v>160</v>
      </c>
      <c r="R5" s="14" t="s">
        <v>161</v>
      </c>
    </row>
    <row r="6" ht="409" customHeight="1" spans="1:18">
      <c r="A6" s="76" t="s">
        <v>175</v>
      </c>
      <c r="B6" s="44" t="s">
        <v>176</v>
      </c>
      <c r="C6" s="44"/>
      <c r="D6" s="44"/>
      <c r="E6" s="44"/>
      <c r="F6" s="44"/>
      <c r="G6" s="44"/>
      <c r="H6" s="44" t="s">
        <v>177</v>
      </c>
      <c r="I6" s="44"/>
      <c r="J6" s="44" t="s">
        <v>178</v>
      </c>
      <c r="K6" s="36">
        <v>6</v>
      </c>
      <c r="L6" s="36">
        <v>10</v>
      </c>
      <c r="M6" s="36">
        <v>2</v>
      </c>
      <c r="P6" s="36">
        <v>5</v>
      </c>
      <c r="Q6" s="36">
        <v>5</v>
      </c>
      <c r="R6" s="36">
        <v>2</v>
      </c>
    </row>
    <row r="7" ht="50" customHeight="1" spans="1:18">
      <c r="A7" s="77"/>
      <c r="B7" s="50" t="s">
        <v>179</v>
      </c>
      <c r="C7" s="53"/>
      <c r="D7" s="53"/>
      <c r="E7" s="53"/>
      <c r="F7" s="53"/>
      <c r="G7" s="51"/>
      <c r="H7" s="78"/>
      <c r="I7" s="79"/>
      <c r="J7" s="44"/>
      <c r="K7" s="36">
        <v>0</v>
      </c>
      <c r="L7" s="36">
        <v>2</v>
      </c>
      <c r="M7" s="36">
        <v>1</v>
      </c>
      <c r="P7" s="36">
        <v>0</v>
      </c>
      <c r="Q7" s="36">
        <v>2</v>
      </c>
      <c r="R7" s="36">
        <v>1</v>
      </c>
    </row>
    <row r="8" ht="87" customHeight="1" spans="1:18">
      <c r="A8" s="52" t="s">
        <v>180</v>
      </c>
      <c r="B8" s="44" t="s">
        <v>181</v>
      </c>
      <c r="C8" s="44"/>
      <c r="D8" s="44"/>
      <c r="E8" s="44"/>
      <c r="F8" s="44"/>
      <c r="G8" s="44"/>
      <c r="H8" s="52"/>
      <c r="I8" s="52"/>
      <c r="J8" s="80"/>
      <c r="K8" s="36">
        <v>3</v>
      </c>
      <c r="L8" s="36">
        <v>3</v>
      </c>
      <c r="M8" s="36">
        <v>1</v>
      </c>
      <c r="P8" s="36">
        <v>2</v>
      </c>
      <c r="Q8" s="36">
        <v>2</v>
      </c>
      <c r="R8" s="36">
        <v>1</v>
      </c>
    </row>
    <row r="9" ht="321" customHeight="1" spans="1:18">
      <c r="A9" s="52" t="s">
        <v>182</v>
      </c>
      <c r="B9" s="46" t="s">
        <v>183</v>
      </c>
      <c r="C9" s="44"/>
      <c r="D9" s="44"/>
      <c r="E9" s="44"/>
      <c r="F9" s="44"/>
      <c r="G9" s="44"/>
      <c r="H9" s="44"/>
      <c r="I9" s="44"/>
      <c r="J9" s="80"/>
      <c r="K9" s="36">
        <v>3</v>
      </c>
      <c r="L9" s="36">
        <v>5</v>
      </c>
      <c r="M9" s="36">
        <v>1</v>
      </c>
      <c r="P9" s="36">
        <v>3</v>
      </c>
      <c r="Q9" s="36">
        <v>3</v>
      </c>
      <c r="R9" s="36">
        <v>1</v>
      </c>
    </row>
    <row r="10" ht="335" customHeight="1" spans="1:18">
      <c r="A10" s="52"/>
      <c r="B10" s="44" t="s">
        <v>184</v>
      </c>
      <c r="C10" s="44"/>
      <c r="D10" s="44"/>
      <c r="E10" s="44"/>
      <c r="F10" s="44"/>
      <c r="G10" s="44"/>
      <c r="H10" s="52"/>
      <c r="I10" s="52"/>
      <c r="J10" s="80"/>
      <c r="K10" s="36">
        <v>3</v>
      </c>
      <c r="L10" s="36">
        <v>5</v>
      </c>
      <c r="M10" s="36">
        <v>2</v>
      </c>
      <c r="P10" s="36">
        <v>3</v>
      </c>
      <c r="Q10" s="36">
        <v>3</v>
      </c>
      <c r="R10" s="36">
        <v>1</v>
      </c>
    </row>
    <row r="11" ht="261" customHeight="1" spans="1:18">
      <c r="A11" s="52"/>
      <c r="B11" s="44" t="s">
        <v>185</v>
      </c>
      <c r="C11" s="44"/>
      <c r="D11" s="44"/>
      <c r="E11" s="44"/>
      <c r="F11" s="44"/>
      <c r="G11" s="44"/>
      <c r="H11" s="52"/>
      <c r="I11" s="52"/>
      <c r="J11" s="80"/>
      <c r="K11" s="36">
        <v>3</v>
      </c>
      <c r="L11" s="36">
        <v>5</v>
      </c>
      <c r="M11" s="36">
        <v>2</v>
      </c>
      <c r="P11" s="36">
        <v>3</v>
      </c>
      <c r="Q11" s="36">
        <v>3</v>
      </c>
      <c r="R11" s="36">
        <v>1</v>
      </c>
    </row>
    <row r="12" ht="112" customHeight="1" spans="1:18">
      <c r="A12" s="52"/>
      <c r="B12" s="44" t="s">
        <v>186</v>
      </c>
      <c r="C12" s="44"/>
      <c r="D12" s="44"/>
      <c r="E12" s="44"/>
      <c r="F12" s="44"/>
      <c r="G12" s="44"/>
      <c r="H12" s="81"/>
      <c r="I12" s="81"/>
      <c r="J12" s="80"/>
      <c r="K12" s="36">
        <v>1</v>
      </c>
      <c r="L12" s="36">
        <v>3</v>
      </c>
      <c r="M12" s="36">
        <v>1</v>
      </c>
      <c r="P12" s="36">
        <v>1</v>
      </c>
      <c r="Q12" s="36">
        <v>2</v>
      </c>
      <c r="R12" s="36">
        <v>1</v>
      </c>
    </row>
    <row r="13" ht="89" customHeight="1" spans="1:18">
      <c r="A13" s="52" t="s">
        <v>187</v>
      </c>
      <c r="B13" s="44" t="s">
        <v>188</v>
      </c>
      <c r="C13" s="44"/>
      <c r="D13" s="44"/>
      <c r="E13" s="44"/>
      <c r="F13" s="44"/>
      <c r="G13" s="44"/>
      <c r="H13" s="81"/>
      <c r="I13" s="81"/>
      <c r="J13" s="80"/>
      <c r="K13" s="36">
        <v>3</v>
      </c>
      <c r="L13" s="36">
        <v>2</v>
      </c>
      <c r="M13" s="36">
        <v>1</v>
      </c>
      <c r="P13" s="36">
        <v>2</v>
      </c>
      <c r="Q13" s="36">
        <v>2</v>
      </c>
      <c r="R13" s="36">
        <v>1</v>
      </c>
    </row>
    <row r="14" ht="18" customHeight="1" spans="1:18">
      <c r="A14" s="82" t="s">
        <v>106</v>
      </c>
      <c r="B14" s="83"/>
      <c r="C14" s="83"/>
      <c r="D14" s="83"/>
      <c r="E14" s="83"/>
      <c r="F14" s="83"/>
      <c r="G14" s="83"/>
      <c r="H14" s="83"/>
      <c r="I14" s="83"/>
      <c r="J14" s="84"/>
      <c r="K14" s="36">
        <f t="shared" ref="K14:R14" si="0">SUM(K6:K13)</f>
        <v>22</v>
      </c>
      <c r="L14" s="36">
        <f t="shared" si="0"/>
        <v>35</v>
      </c>
      <c r="M14" s="36">
        <f t="shared" si="0"/>
        <v>11</v>
      </c>
      <c r="P14" s="36">
        <f t="shared" si="0"/>
        <v>19</v>
      </c>
      <c r="Q14" s="36">
        <f t="shared" si="0"/>
        <v>22</v>
      </c>
      <c r="R14" s="36">
        <f t="shared" si="0"/>
        <v>9</v>
      </c>
    </row>
    <row r="15" ht="18" customHeight="1" spans="1:18">
      <c r="A15" s="82" t="s">
        <v>107</v>
      </c>
      <c r="B15" s="83"/>
      <c r="C15" s="83"/>
      <c r="D15" s="83"/>
      <c r="E15" s="83"/>
      <c r="F15" s="83"/>
      <c r="G15" s="83"/>
      <c r="H15" s="83"/>
      <c r="I15" s="83"/>
      <c r="J15" s="84"/>
      <c r="K15" s="85">
        <f>SUM(K14:M14)</f>
        <v>68</v>
      </c>
      <c r="L15" s="86"/>
      <c r="M15" s="87"/>
      <c r="P15" s="85">
        <f>SUM(P14:R14)</f>
        <v>50</v>
      </c>
      <c r="Q15" s="86"/>
      <c r="R15" s="87"/>
    </row>
  </sheetData>
  <mergeCells count="105">
    <mergeCell ref="B5:G5"/>
    <mergeCell ref="H5:I5"/>
    <mergeCell ref="B6:G6"/>
    <mergeCell ref="H6:I6"/>
    <mergeCell ref="B7:G7"/>
    <mergeCell ref="H7:I7"/>
    <mergeCell ref="B8:G8"/>
    <mergeCell ref="H8:I8"/>
    <mergeCell ref="B9:G9"/>
    <mergeCell ref="H9:I9"/>
    <mergeCell ref="B10:G10"/>
    <mergeCell ref="H10:I10"/>
    <mergeCell ref="B11:G11"/>
    <mergeCell ref="H11:I11"/>
    <mergeCell ref="B12:G12"/>
    <mergeCell ref="H12:I12"/>
    <mergeCell ref="B13:G13"/>
    <mergeCell ref="H13:I13"/>
    <mergeCell ref="A14:J14"/>
    <mergeCell ref="A15:J15"/>
    <mergeCell ref="K15:M15"/>
    <mergeCell ref="P15:R15"/>
    <mergeCell ref="B16:G16"/>
    <mergeCell ref="H16:I16"/>
    <mergeCell ref="B17:G17"/>
    <mergeCell ref="H17:I17"/>
    <mergeCell ref="B18:G18"/>
    <mergeCell ref="H18:I18"/>
    <mergeCell ref="B19:G19"/>
    <mergeCell ref="H19:I19"/>
    <mergeCell ref="B20:G20"/>
    <mergeCell ref="H20:I20"/>
    <mergeCell ref="B21:G21"/>
    <mergeCell ref="H21:I21"/>
    <mergeCell ref="B22:G22"/>
    <mergeCell ref="H22:I22"/>
    <mergeCell ref="B23:G23"/>
    <mergeCell ref="H23:I23"/>
    <mergeCell ref="B24:G24"/>
    <mergeCell ref="H24:I24"/>
    <mergeCell ref="B25:G25"/>
    <mergeCell ref="H25:I25"/>
    <mergeCell ref="B26:G26"/>
    <mergeCell ref="H26:I26"/>
    <mergeCell ref="B27:G27"/>
    <mergeCell ref="H27:I27"/>
    <mergeCell ref="B28:G28"/>
    <mergeCell ref="H28:I28"/>
    <mergeCell ref="B29:G29"/>
    <mergeCell ref="H29:I29"/>
    <mergeCell ref="B30:G30"/>
    <mergeCell ref="H30:I30"/>
    <mergeCell ref="B31:G31"/>
    <mergeCell ref="H31:I31"/>
    <mergeCell ref="B32:G32"/>
    <mergeCell ref="H32:I32"/>
    <mergeCell ref="B33:G33"/>
    <mergeCell ref="H33:I33"/>
    <mergeCell ref="B34:G34"/>
    <mergeCell ref="H34:I34"/>
    <mergeCell ref="B35:G35"/>
    <mergeCell ref="H35:I35"/>
    <mergeCell ref="B36:G36"/>
    <mergeCell ref="H36:I36"/>
    <mergeCell ref="B37:G37"/>
    <mergeCell ref="H37:I37"/>
    <mergeCell ref="B38:G38"/>
    <mergeCell ref="H38:I38"/>
    <mergeCell ref="B39:G39"/>
    <mergeCell ref="H39:I39"/>
    <mergeCell ref="B40:G40"/>
    <mergeCell ref="H40:I40"/>
    <mergeCell ref="B41:G41"/>
    <mergeCell ref="H41:I41"/>
    <mergeCell ref="B42:G42"/>
    <mergeCell ref="H42:I42"/>
    <mergeCell ref="B43:G43"/>
    <mergeCell ref="H43:I43"/>
    <mergeCell ref="B44:G44"/>
    <mergeCell ref="H44:I44"/>
    <mergeCell ref="B45:G45"/>
    <mergeCell ref="H45:I45"/>
    <mergeCell ref="B46:G46"/>
    <mergeCell ref="H46:I46"/>
    <mergeCell ref="B47:G47"/>
    <mergeCell ref="H47:I47"/>
    <mergeCell ref="B48:G48"/>
    <mergeCell ref="H48:I48"/>
    <mergeCell ref="B49:G49"/>
    <mergeCell ref="H49:I49"/>
    <mergeCell ref="B50:G50"/>
    <mergeCell ref="H50:I50"/>
    <mergeCell ref="B51:G51"/>
    <mergeCell ref="H51:I51"/>
    <mergeCell ref="B52:G52"/>
    <mergeCell ref="H52:I52"/>
    <mergeCell ref="B53:G53"/>
    <mergeCell ref="H53:I53"/>
    <mergeCell ref="B54:G54"/>
    <mergeCell ref="H54:I54"/>
    <mergeCell ref="B55:G55"/>
    <mergeCell ref="H55:I55"/>
    <mergeCell ref="A6:A7"/>
    <mergeCell ref="A10:A12"/>
    <mergeCell ref="A1:M4"/>
  </mergeCells>
  <pageMargins left="0.75" right="0.75" top="1" bottom="1" header="0.5" footer="0.5"/>
  <headerFooter/>
  <drawing r:id="rId1"/>
  <legacyDrawing r:id="rId2"/>
  <oleObjects>
    <mc:AlternateContent xmlns:mc="http://schemas.openxmlformats.org/markup-compatibility/2006">
      <mc:Choice Requires="x14">
        <oleObject shapeId="1026" progId="Package" r:id="rId3">
          <objectPr defaultSize="0" r:id="rId4">
            <anchor moveWithCells="1">
              <from>
                <xdr:col>9</xdr:col>
                <xdr:colOff>57150</xdr:colOff>
                <xdr:row>5</xdr:row>
                <xdr:rowOff>3321050</xdr:rowOff>
              </from>
              <to>
                <xdr:col>9</xdr:col>
                <xdr:colOff>1941830</xdr:colOff>
                <xdr:row>5</xdr:row>
                <xdr:rowOff>3786505</xdr:rowOff>
              </to>
            </anchor>
          </objectPr>
        </oleObject>
      </mc:Choice>
      <mc:Fallback>
        <oleObject shapeId="1026" progId="Package"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9"/>
  <sheetViews>
    <sheetView workbookViewId="0">
      <pane ySplit="5" topLeftCell="A83" activePane="bottomLeft" state="frozen"/>
      <selection/>
      <selection pane="bottomLeft" activeCell="R98" sqref="R98"/>
    </sheetView>
  </sheetViews>
  <sheetFormatPr defaultColWidth="8.71666666666667" defaultRowHeight="13.5"/>
  <cols>
    <col min="1" max="1" width="25.925" style="2" customWidth="1"/>
    <col min="2" max="2" width="29.6416666666667" style="2" customWidth="1"/>
    <col min="3" max="3" width="23.4666666666667" style="2" customWidth="1"/>
    <col min="4" max="4" width="22.6" style="2" customWidth="1"/>
    <col min="5" max="5" width="25.6166666666667" style="2" customWidth="1"/>
    <col min="6" max="6" width="13.2833333333333" style="2" customWidth="1"/>
    <col min="7" max="7" width="20.5416666666667" style="2" hidden="1" customWidth="1"/>
    <col min="8" max="8" width="19.1583333333333" style="3" customWidth="1"/>
    <col min="9" max="9" width="19.6916666666667" style="3" customWidth="1"/>
    <col min="10" max="10" width="11.7166666666667" style="2" customWidth="1"/>
    <col min="11" max="16384" width="8.71666666666667" style="4"/>
  </cols>
  <sheetData>
    <row r="1" spans="1:18">
      <c r="A1" s="5" t="s">
        <v>189</v>
      </c>
      <c r="B1" s="6"/>
      <c r="C1" s="6"/>
      <c r="D1" s="6"/>
      <c r="E1" s="6"/>
      <c r="F1" s="6"/>
      <c r="G1" s="6"/>
      <c r="H1" s="6"/>
      <c r="I1" s="6"/>
      <c r="J1" s="6"/>
      <c r="K1" s="6"/>
      <c r="L1" s="6"/>
      <c r="M1" s="7"/>
    </row>
    <row r="2" spans="1:18">
      <c r="A2" s="8"/>
      <c r="B2" s="9"/>
      <c r="C2" s="9"/>
      <c r="D2" s="9"/>
      <c r="E2" s="9"/>
      <c r="F2" s="9"/>
      <c r="G2" s="9"/>
      <c r="H2" s="9"/>
      <c r="I2" s="9"/>
      <c r="J2" s="9"/>
      <c r="K2" s="9"/>
      <c r="L2" s="9"/>
      <c r="M2" s="10"/>
    </row>
    <row r="3" spans="1:18">
      <c r="A3" s="8"/>
      <c r="B3" s="9"/>
      <c r="C3" s="9"/>
      <c r="D3" s="9"/>
      <c r="E3" s="9"/>
      <c r="F3" s="9"/>
      <c r="G3" s="9"/>
      <c r="H3" s="9"/>
      <c r="I3" s="9"/>
      <c r="J3" s="9"/>
      <c r="K3" s="9"/>
      <c r="L3" s="9"/>
      <c r="M3" s="10"/>
    </row>
    <row r="4" spans="1:18">
      <c r="A4" s="11"/>
      <c r="B4" s="12"/>
      <c r="C4" s="12"/>
      <c r="D4" s="12"/>
      <c r="E4" s="12"/>
      <c r="F4" s="12"/>
      <c r="G4" s="12"/>
      <c r="H4" s="12"/>
      <c r="I4" s="12"/>
      <c r="J4" s="12"/>
      <c r="K4" s="12"/>
      <c r="L4" s="12"/>
      <c r="M4" s="13"/>
    </row>
    <row r="5" spans="1:18">
      <c r="A5" s="14" t="s">
        <v>16</v>
      </c>
      <c r="B5" s="14" t="s">
        <v>17</v>
      </c>
      <c r="C5" s="14"/>
      <c r="D5" s="14"/>
      <c r="E5" s="14"/>
      <c r="F5" s="14"/>
      <c r="G5" s="14"/>
      <c r="H5" s="15" t="s">
        <v>20</v>
      </c>
      <c r="I5" s="15"/>
      <c r="J5" s="14" t="s">
        <v>159</v>
      </c>
      <c r="K5" s="14" t="s">
        <v>160</v>
      </c>
      <c r="L5" s="14" t="s">
        <v>190</v>
      </c>
      <c r="M5" s="14" t="s">
        <v>161</v>
      </c>
      <c r="O5" s="16" t="s">
        <v>159</v>
      </c>
      <c r="P5" s="16" t="s">
        <v>160</v>
      </c>
      <c r="Q5" s="14" t="s">
        <v>190</v>
      </c>
      <c r="R5" s="14" t="s">
        <v>161</v>
      </c>
    </row>
    <row r="6" ht="33" customHeight="1" spans="1:18">
      <c r="A6" s="17" t="s">
        <v>191</v>
      </c>
      <c r="B6" s="18" t="s">
        <v>192</v>
      </c>
      <c r="C6" s="19"/>
      <c r="D6" s="19"/>
      <c r="E6" s="19"/>
      <c r="F6" s="20"/>
      <c r="G6" s="21"/>
      <c r="H6" s="22"/>
      <c r="I6" s="23"/>
      <c r="J6" s="21"/>
      <c r="K6" s="21"/>
      <c r="L6" s="21"/>
      <c r="M6" s="21"/>
      <c r="O6" s="24"/>
      <c r="P6" s="21"/>
      <c r="Q6" s="21"/>
      <c r="R6" s="21"/>
    </row>
    <row r="7" ht="90" customHeight="1" spans="1:18">
      <c r="A7" s="25"/>
      <c r="B7" s="18" t="s">
        <v>193</v>
      </c>
      <c r="C7" s="19"/>
      <c r="D7" s="19"/>
      <c r="E7" s="19"/>
      <c r="F7" s="20"/>
      <c r="G7" s="21"/>
      <c r="H7" s="22"/>
      <c r="I7" s="23"/>
      <c r="J7" s="26">
        <v>2</v>
      </c>
      <c r="K7" s="27">
        <v>2</v>
      </c>
      <c r="L7" s="21"/>
      <c r="M7" s="21"/>
      <c r="O7" s="26">
        <v>2</v>
      </c>
      <c r="P7" s="27">
        <v>2</v>
      </c>
      <c r="Q7" s="21"/>
      <c r="R7" s="21"/>
    </row>
    <row r="8" ht="123" customHeight="1" spans="1:18">
      <c r="A8" s="25"/>
      <c r="B8" s="28" t="s">
        <v>194</v>
      </c>
      <c r="C8" s="29"/>
      <c r="D8" s="29"/>
      <c r="E8" s="29"/>
      <c r="F8" s="30"/>
      <c r="G8" s="21"/>
      <c r="H8" s="31" t="s">
        <v>195</v>
      </c>
      <c r="I8" s="32"/>
      <c r="J8" s="26"/>
      <c r="K8" s="27"/>
      <c r="L8" s="21"/>
      <c r="M8" s="21"/>
      <c r="O8" s="26"/>
      <c r="P8" s="27"/>
      <c r="Q8" s="21"/>
      <c r="R8" s="21"/>
    </row>
    <row r="9" ht="99" customHeight="1" spans="1:18">
      <c r="A9" s="25"/>
      <c r="B9" s="18" t="s">
        <v>196</v>
      </c>
      <c r="C9" s="19"/>
      <c r="D9" s="19"/>
      <c r="E9" s="19"/>
      <c r="F9" s="20"/>
      <c r="G9" s="21"/>
      <c r="H9" s="22"/>
      <c r="I9" s="23"/>
      <c r="J9" s="26">
        <v>2</v>
      </c>
      <c r="K9" s="27">
        <v>2</v>
      </c>
      <c r="L9" s="21"/>
      <c r="M9" s="21"/>
      <c r="O9" s="26">
        <v>2</v>
      </c>
      <c r="P9" s="27">
        <v>2</v>
      </c>
      <c r="Q9" s="21"/>
      <c r="R9" s="21"/>
    </row>
    <row r="10" ht="84" customHeight="1" spans="1:18">
      <c r="A10" s="25"/>
      <c r="B10" s="18" t="s">
        <v>197</v>
      </c>
      <c r="C10" s="19"/>
      <c r="D10" s="19"/>
      <c r="E10" s="19"/>
      <c r="F10" s="20"/>
      <c r="G10" s="33"/>
      <c r="H10" s="22"/>
      <c r="I10" s="23"/>
      <c r="J10" s="34">
        <v>2</v>
      </c>
      <c r="K10" s="35">
        <v>2</v>
      </c>
      <c r="L10" s="36"/>
      <c r="M10" s="37"/>
      <c r="O10" s="38">
        <v>2</v>
      </c>
      <c r="P10" s="39">
        <v>2</v>
      </c>
      <c r="Q10" s="40"/>
      <c r="R10" s="41"/>
    </row>
    <row r="11" ht="57" customHeight="1" spans="1:18">
      <c r="A11" s="42"/>
      <c r="B11" s="18" t="s">
        <v>198</v>
      </c>
      <c r="C11" s="19"/>
      <c r="D11" s="19"/>
      <c r="E11" s="19"/>
      <c r="F11" s="20"/>
      <c r="G11" s="33"/>
      <c r="H11" s="22"/>
      <c r="I11" s="23"/>
      <c r="J11" s="34">
        <v>2</v>
      </c>
      <c r="K11" s="35">
        <v>2</v>
      </c>
      <c r="L11" s="36"/>
      <c r="M11" s="37"/>
      <c r="O11" s="38">
        <v>2</v>
      </c>
      <c r="P11" s="39">
        <v>2</v>
      </c>
      <c r="Q11" s="40"/>
      <c r="R11" s="41"/>
    </row>
    <row r="12" ht="194" customHeight="1" spans="1:18">
      <c r="A12" s="37" t="s">
        <v>199</v>
      </c>
      <c r="B12" s="43" t="s">
        <v>200</v>
      </c>
      <c r="C12" s="33"/>
      <c r="D12" s="33"/>
      <c r="E12" s="33"/>
      <c r="F12" s="33"/>
      <c r="G12" s="33"/>
      <c r="H12" s="44" t="s">
        <v>201</v>
      </c>
      <c r="I12" s="44"/>
      <c r="J12" s="45"/>
      <c r="K12" s="36"/>
      <c r="L12" s="36"/>
      <c r="M12" s="37">
        <v>3</v>
      </c>
      <c r="O12" s="24"/>
      <c r="P12" s="24"/>
      <c r="Q12" s="40"/>
      <c r="R12" s="41">
        <v>1</v>
      </c>
    </row>
    <row r="13" ht="309" customHeight="1" spans="1:18">
      <c r="A13" s="37"/>
      <c r="B13" s="26" t="s">
        <v>202</v>
      </c>
      <c r="C13" s="33"/>
      <c r="D13" s="33"/>
      <c r="E13" s="33"/>
      <c r="F13" s="33"/>
      <c r="G13" s="33"/>
      <c r="H13" s="44"/>
      <c r="I13" s="44"/>
      <c r="J13" s="45">
        <v>2</v>
      </c>
      <c r="K13" s="36">
        <v>3</v>
      </c>
      <c r="L13" s="36"/>
      <c r="M13" s="37"/>
      <c r="O13" s="24">
        <v>2</v>
      </c>
      <c r="P13" s="24">
        <v>2</v>
      </c>
      <c r="Q13" s="40"/>
      <c r="R13" s="41"/>
    </row>
    <row r="14" ht="137" customHeight="1" spans="1:18">
      <c r="A14" s="37"/>
      <c r="B14" s="46" t="s">
        <v>203</v>
      </c>
      <c r="C14" s="45"/>
      <c r="D14" s="45"/>
      <c r="E14" s="45"/>
      <c r="F14" s="45"/>
      <c r="G14" s="45"/>
      <c r="H14" s="44"/>
      <c r="I14" s="44"/>
      <c r="J14" s="45">
        <v>3</v>
      </c>
      <c r="K14" s="36">
        <v>3</v>
      </c>
      <c r="L14" s="36"/>
      <c r="M14" s="37"/>
      <c r="O14" s="24">
        <v>2</v>
      </c>
      <c r="P14" s="24">
        <v>2</v>
      </c>
      <c r="Q14" s="40"/>
      <c r="R14" s="41"/>
    </row>
    <row r="15" ht="44" customHeight="1" spans="1:18">
      <c r="A15" s="37"/>
      <c r="B15" s="43" t="s">
        <v>204</v>
      </c>
      <c r="C15" s="33"/>
      <c r="D15" s="33"/>
      <c r="E15" s="33"/>
      <c r="F15" s="33"/>
      <c r="G15" s="33"/>
      <c r="H15" s="44"/>
      <c r="I15" s="44"/>
      <c r="J15" s="45">
        <v>2</v>
      </c>
      <c r="K15" s="36">
        <v>2</v>
      </c>
      <c r="L15" s="36"/>
      <c r="M15" s="37"/>
      <c r="O15" s="24">
        <v>1</v>
      </c>
      <c r="P15" s="24">
        <v>1</v>
      </c>
      <c r="Q15" s="40"/>
      <c r="R15" s="41"/>
    </row>
    <row r="16" ht="108" customHeight="1" spans="1:18">
      <c r="A16" s="37"/>
      <c r="B16" s="44" t="s">
        <v>205</v>
      </c>
      <c r="C16" s="45"/>
      <c r="D16" s="45"/>
      <c r="E16" s="45"/>
      <c r="F16" s="45"/>
      <c r="G16" s="45"/>
      <c r="H16" s="44"/>
      <c r="I16" s="44"/>
      <c r="J16" s="45">
        <v>3</v>
      </c>
      <c r="K16" s="36">
        <v>3</v>
      </c>
      <c r="L16" s="36"/>
      <c r="M16" s="37"/>
      <c r="O16" s="24">
        <v>2</v>
      </c>
      <c r="P16" s="24">
        <v>1</v>
      </c>
      <c r="Q16" s="40"/>
      <c r="R16" s="41"/>
    </row>
    <row r="17" ht="159" customHeight="1" spans="1:18">
      <c r="A17" s="37" t="s">
        <v>206</v>
      </c>
      <c r="B17" s="44" t="s">
        <v>207</v>
      </c>
      <c r="C17" s="45"/>
      <c r="D17" s="45"/>
      <c r="E17" s="45"/>
      <c r="F17" s="45"/>
      <c r="G17" s="45"/>
      <c r="H17" s="44"/>
      <c r="I17" s="44"/>
      <c r="J17" s="45"/>
      <c r="K17" s="36"/>
      <c r="L17" s="36"/>
      <c r="M17" s="36"/>
      <c r="O17" s="24"/>
      <c r="P17" s="24"/>
      <c r="Q17" s="40"/>
      <c r="R17" s="40"/>
    </row>
    <row r="18" ht="118" customHeight="1" spans="1:18">
      <c r="A18" s="37"/>
      <c r="B18" s="46" t="s">
        <v>208</v>
      </c>
      <c r="C18" s="45"/>
      <c r="D18" s="45"/>
      <c r="E18" s="45"/>
      <c r="F18" s="45"/>
      <c r="G18" s="45"/>
      <c r="H18" s="44" t="s">
        <v>209</v>
      </c>
      <c r="I18" s="44"/>
      <c r="J18" s="45">
        <v>3</v>
      </c>
      <c r="K18" s="36">
        <v>8</v>
      </c>
      <c r="L18" s="36"/>
      <c r="M18" s="37">
        <v>3</v>
      </c>
      <c r="O18" s="24">
        <v>3</v>
      </c>
      <c r="P18" s="24">
        <v>4</v>
      </c>
      <c r="Q18" s="40"/>
      <c r="R18" s="41">
        <v>1</v>
      </c>
    </row>
    <row r="19" ht="118" customHeight="1" spans="1:18">
      <c r="A19" s="37"/>
      <c r="B19" s="44" t="s">
        <v>210</v>
      </c>
      <c r="C19" s="45"/>
      <c r="D19" s="45"/>
      <c r="E19" s="45"/>
      <c r="F19" s="45"/>
      <c r="G19" s="45"/>
      <c r="H19" s="44"/>
      <c r="I19" s="44"/>
      <c r="J19" s="45">
        <v>3</v>
      </c>
      <c r="K19" s="36">
        <v>5</v>
      </c>
      <c r="L19" s="36"/>
      <c r="M19" s="37"/>
      <c r="O19" s="24">
        <v>2</v>
      </c>
      <c r="P19" s="24">
        <v>3</v>
      </c>
      <c r="Q19" s="40"/>
      <c r="R19" s="41"/>
    </row>
    <row r="20" ht="408" customHeight="1" spans="1:18">
      <c r="A20" s="37"/>
      <c r="B20" s="46" t="s">
        <v>211</v>
      </c>
      <c r="C20" s="45"/>
      <c r="D20" s="45"/>
      <c r="E20" s="45"/>
      <c r="F20" s="45"/>
      <c r="G20" s="45"/>
      <c r="H20" s="44"/>
      <c r="I20" s="44"/>
      <c r="J20" s="45">
        <v>0</v>
      </c>
      <c r="K20" s="36">
        <v>12</v>
      </c>
      <c r="L20" s="36"/>
      <c r="M20" s="37">
        <v>5</v>
      </c>
      <c r="O20" s="24">
        <v>2</v>
      </c>
      <c r="P20" s="24">
        <v>6</v>
      </c>
      <c r="Q20" s="40"/>
      <c r="R20" s="41">
        <v>1</v>
      </c>
    </row>
    <row r="21" ht="409" customHeight="1" spans="1:18">
      <c r="A21" s="37"/>
      <c r="B21" s="46" t="s">
        <v>212</v>
      </c>
      <c r="C21" s="45"/>
      <c r="D21" s="45"/>
      <c r="E21" s="45"/>
      <c r="F21" s="45"/>
      <c r="G21" s="45"/>
      <c r="H21" s="44" t="s">
        <v>213</v>
      </c>
      <c r="I21" s="44"/>
      <c r="J21" s="45">
        <v>8</v>
      </c>
      <c r="K21" s="36">
        <v>12</v>
      </c>
      <c r="L21" s="36"/>
      <c r="M21" s="37"/>
      <c r="O21" s="24">
        <v>3</v>
      </c>
      <c r="P21" s="24">
        <v>6</v>
      </c>
      <c r="Q21" s="40"/>
      <c r="R21" s="41"/>
    </row>
    <row r="22" ht="93" customHeight="1" spans="1:18">
      <c r="A22" s="37"/>
      <c r="B22" s="44" t="s">
        <v>214</v>
      </c>
      <c r="C22" s="45"/>
      <c r="D22" s="45"/>
      <c r="E22" s="45"/>
      <c r="F22" s="45"/>
      <c r="G22" s="45"/>
      <c r="H22" s="44"/>
      <c r="I22" s="44"/>
      <c r="J22" s="45">
        <v>1</v>
      </c>
      <c r="K22" s="36">
        <v>3</v>
      </c>
      <c r="L22" s="36"/>
      <c r="M22" s="37"/>
      <c r="O22" s="24">
        <v>2</v>
      </c>
      <c r="P22" s="24">
        <v>1</v>
      </c>
      <c r="Q22" s="40"/>
      <c r="R22" s="41"/>
    </row>
    <row r="23" ht="110" customHeight="1" spans="1:18">
      <c r="A23" s="47" t="s">
        <v>215</v>
      </c>
      <c r="B23" s="44" t="s">
        <v>216</v>
      </c>
      <c r="C23" s="45"/>
      <c r="D23" s="45"/>
      <c r="E23" s="45"/>
      <c r="F23" s="45"/>
      <c r="G23" s="45"/>
      <c r="H23" s="44"/>
      <c r="I23" s="44"/>
      <c r="J23" s="45"/>
      <c r="K23" s="36"/>
      <c r="L23" s="36"/>
      <c r="M23" s="36"/>
      <c r="O23" s="24"/>
      <c r="P23" s="24"/>
      <c r="Q23" s="40"/>
      <c r="R23" s="40"/>
    </row>
    <row r="24" ht="409" customHeight="1" spans="1:18">
      <c r="A24" s="48"/>
      <c r="B24" s="46" t="s">
        <v>217</v>
      </c>
      <c r="C24" s="45"/>
      <c r="D24" s="45"/>
      <c r="E24" s="45"/>
      <c r="F24" s="45"/>
      <c r="G24" s="45"/>
      <c r="H24" s="44" t="s">
        <v>218</v>
      </c>
      <c r="I24" s="44"/>
      <c r="J24" s="45">
        <v>2</v>
      </c>
      <c r="K24" s="36">
        <v>6</v>
      </c>
      <c r="L24" s="36"/>
      <c r="M24" s="37">
        <v>4</v>
      </c>
      <c r="O24" s="38">
        <v>2</v>
      </c>
      <c r="P24" s="24">
        <v>3</v>
      </c>
      <c r="Q24" s="40"/>
      <c r="R24" s="41">
        <v>1</v>
      </c>
    </row>
    <row r="25" ht="408" customHeight="1" spans="1:18">
      <c r="A25" s="48"/>
      <c r="B25" s="44" t="s">
        <v>219</v>
      </c>
      <c r="C25" s="45"/>
      <c r="D25" s="45"/>
      <c r="E25" s="45"/>
      <c r="F25" s="45"/>
      <c r="G25" s="45"/>
      <c r="H25" s="44"/>
      <c r="I25" s="44"/>
      <c r="J25" s="45">
        <v>2</v>
      </c>
      <c r="K25" s="36">
        <v>2</v>
      </c>
      <c r="L25" s="36"/>
      <c r="M25" s="37"/>
      <c r="O25" s="38">
        <v>2</v>
      </c>
      <c r="P25" s="24">
        <v>2</v>
      </c>
      <c r="Q25" s="40"/>
      <c r="R25" s="41"/>
    </row>
    <row r="26" ht="408" customHeight="1" spans="1:18">
      <c r="A26" s="48"/>
      <c r="B26" s="44" t="s">
        <v>220</v>
      </c>
      <c r="C26" s="45"/>
      <c r="D26" s="45"/>
      <c r="E26" s="45"/>
      <c r="F26" s="45"/>
      <c r="G26" s="45"/>
      <c r="H26" s="44" t="s">
        <v>221</v>
      </c>
      <c r="I26" s="44"/>
      <c r="J26" s="45">
        <v>3</v>
      </c>
      <c r="K26" s="36">
        <v>5</v>
      </c>
      <c r="L26" s="36"/>
      <c r="M26" s="37"/>
      <c r="O26" s="38">
        <v>2</v>
      </c>
      <c r="P26" s="24">
        <v>3</v>
      </c>
      <c r="Q26" s="40"/>
      <c r="R26" s="41"/>
    </row>
    <row r="27" ht="374" customHeight="1" spans="1:18">
      <c r="A27" s="48"/>
      <c r="B27" s="44" t="s">
        <v>222</v>
      </c>
      <c r="C27" s="45"/>
      <c r="D27" s="45"/>
      <c r="E27" s="45"/>
      <c r="F27" s="45"/>
      <c r="G27" s="45"/>
      <c r="H27" s="44"/>
      <c r="I27" s="44"/>
      <c r="J27" s="45">
        <v>0</v>
      </c>
      <c r="K27" s="36">
        <v>2</v>
      </c>
      <c r="L27" s="36"/>
      <c r="M27" s="37"/>
      <c r="O27" s="38">
        <v>2</v>
      </c>
      <c r="P27" s="24">
        <v>1</v>
      </c>
      <c r="Q27" s="40"/>
      <c r="R27" s="41"/>
    </row>
    <row r="28" ht="409" customHeight="1" spans="1:18">
      <c r="A28" s="48"/>
      <c r="B28" s="44" t="s">
        <v>223</v>
      </c>
      <c r="C28" s="45"/>
      <c r="D28" s="45"/>
      <c r="E28" s="45"/>
      <c r="F28" s="45"/>
      <c r="G28" s="45"/>
      <c r="H28" s="44" t="s">
        <v>224</v>
      </c>
      <c r="I28" s="44"/>
      <c r="J28" s="45">
        <v>5</v>
      </c>
      <c r="K28" s="36">
        <v>2</v>
      </c>
      <c r="L28" s="36"/>
      <c r="M28" s="37"/>
      <c r="O28" s="38">
        <v>3</v>
      </c>
      <c r="P28" s="24">
        <v>1</v>
      </c>
      <c r="Q28" s="40"/>
      <c r="R28" s="41"/>
    </row>
    <row r="29" ht="36" customHeight="1" spans="1:18">
      <c r="A29" s="49"/>
      <c r="B29" s="18" t="s">
        <v>225</v>
      </c>
      <c r="C29" s="19"/>
      <c r="D29" s="19"/>
      <c r="E29" s="19"/>
      <c r="F29" s="20"/>
      <c r="G29" s="45"/>
      <c r="H29" s="50"/>
      <c r="I29" s="51"/>
      <c r="J29" s="45">
        <v>2</v>
      </c>
      <c r="K29" s="36">
        <v>3</v>
      </c>
      <c r="L29" s="36"/>
      <c r="M29" s="37">
        <v>1</v>
      </c>
      <c r="O29" s="38">
        <v>1</v>
      </c>
      <c r="P29" s="24">
        <v>1</v>
      </c>
      <c r="Q29" s="40"/>
      <c r="R29" s="41">
        <v>1</v>
      </c>
    </row>
    <row r="30" ht="116" customHeight="1" spans="1:18">
      <c r="A30" s="52" t="s">
        <v>226</v>
      </c>
      <c r="B30" s="44" t="s">
        <v>227</v>
      </c>
      <c r="C30" s="45"/>
      <c r="D30" s="45"/>
      <c r="E30" s="45"/>
      <c r="F30" s="45"/>
      <c r="G30" s="45"/>
      <c r="H30" s="44"/>
      <c r="I30" s="44"/>
      <c r="J30" s="45"/>
      <c r="K30" s="36"/>
      <c r="L30" s="36"/>
      <c r="M30" s="36"/>
      <c r="O30" s="38"/>
      <c r="P30" s="24"/>
      <c r="Q30" s="40"/>
      <c r="R30" s="40"/>
    </row>
    <row r="31" ht="101" customHeight="1" spans="1:18">
      <c r="A31" s="52"/>
      <c r="B31" s="44" t="s">
        <v>228</v>
      </c>
      <c r="C31" s="45"/>
      <c r="D31" s="45"/>
      <c r="E31" s="45"/>
      <c r="F31" s="45"/>
      <c r="G31" s="45"/>
      <c r="H31" s="44"/>
      <c r="I31" s="44"/>
      <c r="J31" s="45">
        <v>3</v>
      </c>
      <c r="K31" s="36">
        <v>6</v>
      </c>
      <c r="L31" s="36"/>
      <c r="M31" s="37">
        <v>3</v>
      </c>
      <c r="O31" s="38">
        <v>2</v>
      </c>
      <c r="P31" s="24">
        <v>3</v>
      </c>
      <c r="Q31" s="40"/>
      <c r="R31" s="41">
        <v>1</v>
      </c>
    </row>
    <row r="32" ht="123" customHeight="1" spans="1:18">
      <c r="A32" s="52"/>
      <c r="B32" s="44" t="s">
        <v>229</v>
      </c>
      <c r="C32" s="45"/>
      <c r="D32" s="45"/>
      <c r="E32" s="45"/>
      <c r="F32" s="45"/>
      <c r="G32" s="45"/>
      <c r="H32" s="44"/>
      <c r="I32" s="44"/>
      <c r="J32" s="45">
        <v>3</v>
      </c>
      <c r="K32" s="36">
        <v>4</v>
      </c>
      <c r="L32" s="36"/>
      <c r="M32" s="37"/>
      <c r="O32" s="38">
        <v>2</v>
      </c>
      <c r="P32" s="24">
        <v>2</v>
      </c>
      <c r="Q32" s="40"/>
      <c r="R32" s="41"/>
    </row>
    <row r="33" ht="64" customHeight="1" spans="1:18">
      <c r="A33" s="52"/>
      <c r="B33" s="44" t="s">
        <v>230</v>
      </c>
      <c r="C33" s="45"/>
      <c r="D33" s="45"/>
      <c r="E33" s="45"/>
      <c r="F33" s="45"/>
      <c r="G33" s="45"/>
      <c r="H33" s="44"/>
      <c r="I33" s="44"/>
      <c r="J33" s="45">
        <v>0.5</v>
      </c>
      <c r="K33" s="36">
        <v>0</v>
      </c>
      <c r="L33" s="36"/>
      <c r="M33" s="37"/>
      <c r="O33" s="38">
        <v>1</v>
      </c>
      <c r="P33" s="24"/>
      <c r="Q33" s="40"/>
      <c r="R33" s="41"/>
    </row>
    <row r="34" ht="267" customHeight="1" spans="1:18">
      <c r="A34" s="52"/>
      <c r="B34" s="44" t="s">
        <v>231</v>
      </c>
      <c r="C34" s="45"/>
      <c r="D34" s="45"/>
      <c r="E34" s="45"/>
      <c r="F34" s="45"/>
      <c r="G34" s="45"/>
      <c r="H34" s="44"/>
      <c r="I34" s="44"/>
      <c r="J34" s="45">
        <v>5</v>
      </c>
      <c r="K34" s="36">
        <v>12</v>
      </c>
      <c r="L34" s="36"/>
      <c r="M34" s="36">
        <v>4</v>
      </c>
      <c r="O34" s="38">
        <v>2</v>
      </c>
      <c r="P34" s="24">
        <v>5</v>
      </c>
      <c r="Q34" s="40"/>
      <c r="R34" s="40">
        <v>1</v>
      </c>
    </row>
    <row r="35" ht="249" customHeight="1" spans="1:18">
      <c r="A35" s="52"/>
      <c r="B35" s="44" t="s">
        <v>232</v>
      </c>
      <c r="C35" s="45"/>
      <c r="D35" s="45"/>
      <c r="E35" s="45"/>
      <c r="F35" s="45"/>
      <c r="G35" s="45"/>
      <c r="H35" s="44" t="s">
        <v>233</v>
      </c>
      <c r="I35" s="44"/>
      <c r="J35" s="45">
        <v>8</v>
      </c>
      <c r="K35" s="36">
        <v>8</v>
      </c>
      <c r="L35" s="36"/>
      <c r="M35" s="36">
        <v>3</v>
      </c>
      <c r="O35" s="38">
        <v>3</v>
      </c>
      <c r="P35" s="24">
        <v>4</v>
      </c>
      <c r="Q35" s="40"/>
      <c r="R35" s="40">
        <v>1</v>
      </c>
    </row>
    <row r="36" ht="112" customHeight="1" spans="1:18">
      <c r="A36" s="37" t="s">
        <v>234</v>
      </c>
      <c r="B36" s="44" t="s">
        <v>235</v>
      </c>
      <c r="C36" s="45"/>
      <c r="D36" s="45"/>
      <c r="E36" s="45"/>
      <c r="F36" s="45"/>
      <c r="G36" s="45"/>
      <c r="H36" s="44"/>
      <c r="I36" s="44"/>
      <c r="J36" s="45"/>
      <c r="K36" s="36"/>
      <c r="L36" s="36"/>
      <c r="M36" s="36"/>
      <c r="O36" s="38"/>
      <c r="P36" s="24"/>
      <c r="Q36" s="40"/>
      <c r="R36" s="40"/>
    </row>
    <row r="37" ht="58" customHeight="1" spans="1:18">
      <c r="A37" s="37"/>
      <c r="B37" s="44" t="s">
        <v>236</v>
      </c>
      <c r="C37" s="45"/>
      <c r="D37" s="45"/>
      <c r="E37" s="45"/>
      <c r="F37" s="45"/>
      <c r="G37" s="45"/>
      <c r="H37" s="44"/>
      <c r="I37" s="44"/>
      <c r="J37" s="45">
        <v>2</v>
      </c>
      <c r="K37" s="36">
        <v>8</v>
      </c>
      <c r="L37" s="36"/>
      <c r="M37" s="37">
        <v>3</v>
      </c>
      <c r="O37" s="38">
        <v>1</v>
      </c>
      <c r="P37" s="24">
        <v>4</v>
      </c>
      <c r="Q37" s="40"/>
      <c r="R37" s="41">
        <v>1</v>
      </c>
    </row>
    <row r="38" ht="199" customHeight="1" spans="1:18">
      <c r="A38" s="37"/>
      <c r="B38" s="44" t="s">
        <v>237</v>
      </c>
      <c r="C38" s="45"/>
      <c r="D38" s="45"/>
      <c r="E38" s="45"/>
      <c r="F38" s="45"/>
      <c r="G38" s="45"/>
      <c r="H38" s="44" t="s">
        <v>238</v>
      </c>
      <c r="I38" s="44"/>
      <c r="J38" s="45">
        <v>2</v>
      </c>
      <c r="K38" s="36">
        <v>3</v>
      </c>
      <c r="L38" s="36"/>
      <c r="M38" s="37"/>
      <c r="O38" s="38">
        <v>1</v>
      </c>
      <c r="P38" s="24">
        <v>2</v>
      </c>
      <c r="Q38" s="40"/>
      <c r="R38" s="41"/>
    </row>
    <row r="39" ht="68" customHeight="1" spans="1:18">
      <c r="A39" s="37"/>
      <c r="B39" s="44" t="s">
        <v>239</v>
      </c>
      <c r="C39" s="45"/>
      <c r="D39" s="45"/>
      <c r="E39" s="45"/>
      <c r="F39" s="45"/>
      <c r="G39" s="45"/>
      <c r="H39" s="44"/>
      <c r="I39" s="44"/>
      <c r="J39" s="45">
        <v>0.5</v>
      </c>
      <c r="K39" s="36">
        <v>0</v>
      </c>
      <c r="L39" s="36"/>
      <c r="M39" s="37"/>
      <c r="O39" s="38">
        <v>1</v>
      </c>
      <c r="P39" s="24">
        <v>1</v>
      </c>
      <c r="Q39" s="40"/>
      <c r="R39" s="41"/>
    </row>
    <row r="40" ht="223" customHeight="1" spans="1:18">
      <c r="A40" s="37"/>
      <c r="B40" s="44" t="s">
        <v>240</v>
      </c>
      <c r="C40" s="45"/>
      <c r="D40" s="45"/>
      <c r="E40" s="45"/>
      <c r="F40" s="45"/>
      <c r="G40" s="45"/>
      <c r="H40" s="44" t="s">
        <v>241</v>
      </c>
      <c r="I40" s="44"/>
      <c r="J40" s="45">
        <v>3</v>
      </c>
      <c r="K40" s="36">
        <v>5</v>
      </c>
      <c r="L40" s="36"/>
      <c r="M40" s="36">
        <v>1</v>
      </c>
      <c r="O40" s="38">
        <v>2</v>
      </c>
      <c r="P40" s="24">
        <v>3</v>
      </c>
      <c r="Q40" s="40"/>
      <c r="R40" s="40">
        <v>1</v>
      </c>
    </row>
    <row r="41" ht="408" customHeight="1" spans="1:18">
      <c r="A41" s="37"/>
      <c r="B41" s="44" t="s">
        <v>242</v>
      </c>
      <c r="C41" s="45"/>
      <c r="D41" s="45"/>
      <c r="E41" s="45"/>
      <c r="F41" s="45"/>
      <c r="G41" s="45"/>
      <c r="H41" s="44"/>
      <c r="I41" s="44"/>
      <c r="J41" s="45">
        <v>4</v>
      </c>
      <c r="K41" s="36">
        <v>3</v>
      </c>
      <c r="L41" s="36"/>
      <c r="M41" s="36">
        <v>2</v>
      </c>
      <c r="O41" s="38">
        <v>3</v>
      </c>
      <c r="P41" s="24">
        <v>2</v>
      </c>
      <c r="Q41" s="40"/>
      <c r="R41" s="40">
        <v>1</v>
      </c>
    </row>
    <row r="42" ht="111" customHeight="1" spans="1:18">
      <c r="A42" s="37" t="s">
        <v>243</v>
      </c>
      <c r="B42" s="44" t="s">
        <v>244</v>
      </c>
      <c r="C42" s="45"/>
      <c r="D42" s="45"/>
      <c r="E42" s="45"/>
      <c r="F42" s="45"/>
      <c r="G42" s="45"/>
      <c r="H42" s="44"/>
      <c r="I42" s="44"/>
      <c r="J42" s="45"/>
      <c r="K42" s="36"/>
      <c r="L42" s="36"/>
      <c r="M42" s="36"/>
      <c r="O42" s="38"/>
      <c r="P42" s="24"/>
      <c r="Q42" s="40"/>
      <c r="R42" s="40"/>
    </row>
    <row r="43" ht="56" customHeight="1" spans="1:18">
      <c r="A43" s="37"/>
      <c r="B43" s="44" t="s">
        <v>245</v>
      </c>
      <c r="C43" s="45"/>
      <c r="D43" s="45"/>
      <c r="E43" s="45"/>
      <c r="F43" s="45"/>
      <c r="G43" s="45"/>
      <c r="H43" s="44"/>
      <c r="I43" s="44"/>
      <c r="J43" s="45">
        <v>1</v>
      </c>
      <c r="K43" s="36">
        <v>2</v>
      </c>
      <c r="L43" s="36"/>
      <c r="M43" s="37">
        <v>3</v>
      </c>
      <c r="O43" s="38">
        <v>1</v>
      </c>
      <c r="P43" s="24">
        <v>1</v>
      </c>
      <c r="Q43" s="40"/>
      <c r="R43" s="41">
        <v>1</v>
      </c>
    </row>
    <row r="44" ht="198" customHeight="1" spans="1:18">
      <c r="A44" s="37"/>
      <c r="B44" s="44" t="s">
        <v>246</v>
      </c>
      <c r="C44" s="45"/>
      <c r="D44" s="45"/>
      <c r="E44" s="45"/>
      <c r="F44" s="45"/>
      <c r="G44" s="45"/>
      <c r="H44" s="44"/>
      <c r="I44" s="44"/>
      <c r="J44" s="45">
        <v>2</v>
      </c>
      <c r="K44" s="36">
        <v>4</v>
      </c>
      <c r="L44" s="36"/>
      <c r="M44" s="37"/>
      <c r="O44" s="38">
        <v>1</v>
      </c>
      <c r="P44" s="24">
        <v>1</v>
      </c>
      <c r="Q44" s="40"/>
      <c r="R44" s="41"/>
    </row>
    <row r="45" ht="61" customHeight="1" spans="1:18">
      <c r="A45" s="37"/>
      <c r="B45" s="44" t="s">
        <v>247</v>
      </c>
      <c r="C45" s="45"/>
      <c r="D45" s="45"/>
      <c r="E45" s="45"/>
      <c r="F45" s="45"/>
      <c r="G45" s="45"/>
      <c r="H45" s="44"/>
      <c r="I45" s="44"/>
      <c r="J45" s="45">
        <v>2</v>
      </c>
      <c r="K45" s="36">
        <v>3</v>
      </c>
      <c r="L45" s="36"/>
      <c r="M45" s="37"/>
      <c r="O45" s="38">
        <v>1</v>
      </c>
      <c r="P45" s="24"/>
      <c r="Q45" s="40"/>
      <c r="R45" s="41"/>
    </row>
    <row r="46" ht="76" customHeight="1" spans="1:18">
      <c r="A46" s="37"/>
      <c r="B46" s="44" t="s">
        <v>248</v>
      </c>
      <c r="C46" s="45"/>
      <c r="D46" s="45"/>
      <c r="E46" s="45"/>
      <c r="F46" s="45"/>
      <c r="G46" s="45"/>
      <c r="H46" s="44"/>
      <c r="I46" s="44"/>
      <c r="J46" s="45">
        <v>2</v>
      </c>
      <c r="K46" s="36">
        <v>3</v>
      </c>
      <c r="L46" s="36"/>
      <c r="M46" s="37"/>
      <c r="O46" s="38">
        <v>1</v>
      </c>
      <c r="P46" s="24">
        <v>1</v>
      </c>
      <c r="Q46" s="40"/>
      <c r="R46" s="41"/>
    </row>
    <row r="47" ht="96" customHeight="1" spans="1:18">
      <c r="A47" s="37"/>
      <c r="B47" s="44" t="s">
        <v>249</v>
      </c>
      <c r="C47" s="45"/>
      <c r="D47" s="45"/>
      <c r="E47" s="45"/>
      <c r="F47" s="45"/>
      <c r="G47" s="45"/>
      <c r="H47" s="44" t="s">
        <v>250</v>
      </c>
      <c r="I47" s="44"/>
      <c r="J47" s="45">
        <v>2</v>
      </c>
      <c r="K47" s="36">
        <v>3</v>
      </c>
      <c r="L47" s="36"/>
      <c r="M47" s="37"/>
      <c r="O47" s="38">
        <v>1</v>
      </c>
      <c r="P47" s="24"/>
      <c r="Q47" s="40"/>
      <c r="R47" s="41"/>
    </row>
    <row r="48" ht="125" customHeight="1" spans="1:18">
      <c r="A48" s="37" t="s">
        <v>251</v>
      </c>
      <c r="B48" s="44" t="s">
        <v>252</v>
      </c>
      <c r="C48" s="45"/>
      <c r="D48" s="45"/>
      <c r="E48" s="45"/>
      <c r="F48" s="45"/>
      <c r="G48" s="45"/>
      <c r="H48" s="44"/>
      <c r="I48" s="44"/>
      <c r="J48" s="45"/>
      <c r="K48" s="36"/>
      <c r="L48" s="36"/>
      <c r="M48" s="36"/>
      <c r="O48" s="38"/>
      <c r="P48" s="24"/>
      <c r="Q48" s="40"/>
      <c r="R48" s="40"/>
    </row>
    <row r="49" ht="174" customHeight="1" spans="1:18">
      <c r="A49" s="37"/>
      <c r="B49" s="44" t="s">
        <v>253</v>
      </c>
      <c r="C49" s="45"/>
      <c r="D49" s="45"/>
      <c r="E49" s="45"/>
      <c r="F49" s="45"/>
      <c r="G49" s="45"/>
      <c r="H49" s="44" t="s">
        <v>254</v>
      </c>
      <c r="I49" s="44"/>
      <c r="J49" s="45">
        <v>2</v>
      </c>
      <c r="K49" s="36">
        <v>8</v>
      </c>
      <c r="L49" s="36"/>
      <c r="M49" s="37">
        <v>3</v>
      </c>
      <c r="O49" s="38">
        <v>1</v>
      </c>
      <c r="P49" s="24">
        <v>1</v>
      </c>
      <c r="Q49" s="40"/>
      <c r="R49" s="41">
        <v>1</v>
      </c>
    </row>
    <row r="50" ht="93" customHeight="1" spans="1:18">
      <c r="A50" s="37"/>
      <c r="B50" s="44" t="s">
        <v>255</v>
      </c>
      <c r="C50" s="45"/>
      <c r="D50" s="45"/>
      <c r="E50" s="45"/>
      <c r="F50" s="45"/>
      <c r="G50" s="45"/>
      <c r="H50" s="44"/>
      <c r="I50" s="44"/>
      <c r="J50" s="45">
        <v>3</v>
      </c>
      <c r="K50" s="36">
        <v>3</v>
      </c>
      <c r="L50" s="36"/>
      <c r="M50" s="37"/>
      <c r="O50" s="38">
        <v>1</v>
      </c>
      <c r="P50" s="24">
        <v>1</v>
      </c>
      <c r="Q50" s="40"/>
      <c r="R50" s="41"/>
    </row>
    <row r="51" ht="342" customHeight="1" spans="1:18">
      <c r="A51" s="37"/>
      <c r="B51" s="46" t="s">
        <v>256</v>
      </c>
      <c r="C51" s="45"/>
      <c r="D51" s="45"/>
      <c r="E51" s="45"/>
      <c r="F51" s="45"/>
      <c r="G51" s="45"/>
      <c r="H51" s="44"/>
      <c r="I51" s="44"/>
      <c r="J51" s="45">
        <v>5</v>
      </c>
      <c r="K51" s="36">
        <v>10</v>
      </c>
      <c r="L51" s="36"/>
      <c r="M51" s="37">
        <v>4</v>
      </c>
      <c r="O51" s="38">
        <v>2</v>
      </c>
      <c r="P51" s="24">
        <v>1</v>
      </c>
      <c r="Q51" s="40"/>
      <c r="R51" s="41">
        <v>1</v>
      </c>
    </row>
    <row r="52" ht="89" customHeight="1" spans="1:18">
      <c r="A52" s="37"/>
      <c r="B52" s="44" t="s">
        <v>257</v>
      </c>
      <c r="C52" s="45"/>
      <c r="D52" s="45"/>
      <c r="E52" s="45"/>
      <c r="F52" s="45"/>
      <c r="G52" s="45"/>
      <c r="H52" s="44"/>
      <c r="I52" s="44"/>
      <c r="J52" s="45">
        <v>2</v>
      </c>
      <c r="K52" s="36">
        <v>3</v>
      </c>
      <c r="L52" s="36"/>
      <c r="M52" s="37"/>
      <c r="O52" s="38">
        <v>1</v>
      </c>
      <c r="P52" s="24">
        <v>1</v>
      </c>
      <c r="Q52" s="40"/>
      <c r="R52" s="41"/>
    </row>
    <row r="53" ht="408" customHeight="1" spans="1:18">
      <c r="A53" s="37"/>
      <c r="B53" s="44" t="s">
        <v>258</v>
      </c>
      <c r="C53" s="45"/>
      <c r="D53" s="45"/>
      <c r="E53" s="45"/>
      <c r="F53" s="45"/>
      <c r="G53" s="45"/>
      <c r="H53" s="44"/>
      <c r="I53" s="44"/>
      <c r="J53" s="45">
        <v>3</v>
      </c>
      <c r="K53" s="36">
        <v>5</v>
      </c>
      <c r="L53" s="36"/>
      <c r="M53" s="36">
        <v>1</v>
      </c>
      <c r="O53" s="38">
        <v>3</v>
      </c>
      <c r="P53" s="24">
        <v>3</v>
      </c>
      <c r="Q53" s="40"/>
      <c r="R53" s="40">
        <v>1</v>
      </c>
    </row>
    <row r="54" ht="55" customHeight="1" spans="1:18">
      <c r="A54" s="47" t="s">
        <v>259</v>
      </c>
      <c r="B54" s="44" t="s">
        <v>260</v>
      </c>
      <c r="C54" s="45"/>
      <c r="D54" s="45"/>
      <c r="E54" s="45"/>
      <c r="F54" s="45"/>
      <c r="G54" s="45"/>
      <c r="H54" s="44"/>
      <c r="I54" s="44"/>
      <c r="J54" s="45"/>
      <c r="K54" s="36"/>
      <c r="L54" s="36"/>
      <c r="M54" s="36"/>
      <c r="O54" s="38"/>
      <c r="P54" s="24"/>
      <c r="Q54" s="40"/>
      <c r="R54" s="40"/>
    </row>
    <row r="55" ht="37" customHeight="1" spans="1:18">
      <c r="A55" s="48"/>
      <c r="B55" s="44" t="s">
        <v>261</v>
      </c>
      <c r="C55" s="45"/>
      <c r="D55" s="45"/>
      <c r="E55" s="45"/>
      <c r="F55" s="45"/>
      <c r="G55" s="45"/>
      <c r="H55" s="44"/>
      <c r="I55" s="44"/>
      <c r="J55" s="45">
        <v>2</v>
      </c>
      <c r="K55" s="36">
        <v>2</v>
      </c>
      <c r="L55" s="36"/>
      <c r="M55" s="37">
        <v>3</v>
      </c>
      <c r="O55" s="38">
        <v>1</v>
      </c>
      <c r="P55" s="24">
        <v>1</v>
      </c>
      <c r="Q55" s="40"/>
      <c r="R55" s="41">
        <v>1</v>
      </c>
    </row>
    <row r="56" ht="56" customHeight="1" spans="1:18">
      <c r="A56" s="48"/>
      <c r="B56" s="44" t="s">
        <v>262</v>
      </c>
      <c r="C56" s="45"/>
      <c r="D56" s="45"/>
      <c r="E56" s="45"/>
      <c r="F56" s="45"/>
      <c r="G56" s="45"/>
      <c r="H56" s="44"/>
      <c r="I56" s="44"/>
      <c r="J56" s="45">
        <v>1</v>
      </c>
      <c r="K56" s="36">
        <v>1</v>
      </c>
      <c r="L56" s="36"/>
      <c r="M56" s="37"/>
      <c r="O56" s="38">
        <v>1</v>
      </c>
      <c r="P56" s="24">
        <v>1</v>
      </c>
      <c r="Q56" s="40"/>
      <c r="R56" s="41"/>
    </row>
    <row r="57" ht="88" customHeight="1" spans="1:18">
      <c r="A57" s="48"/>
      <c r="B57" s="46" t="s">
        <v>263</v>
      </c>
      <c r="C57" s="45"/>
      <c r="D57" s="45"/>
      <c r="E57" s="45"/>
      <c r="F57" s="45"/>
      <c r="G57" s="45"/>
      <c r="H57" s="44"/>
      <c r="I57" s="44"/>
      <c r="J57" s="45">
        <v>3</v>
      </c>
      <c r="K57" s="36">
        <v>6</v>
      </c>
      <c r="L57" s="36"/>
      <c r="M57" s="37"/>
      <c r="O57" s="38">
        <v>2</v>
      </c>
      <c r="P57" s="24">
        <v>2</v>
      </c>
      <c r="Q57" s="40"/>
      <c r="R57" s="41"/>
    </row>
    <row r="58" ht="64" customHeight="1" spans="1:18">
      <c r="A58" s="48"/>
      <c r="B58" s="44" t="s">
        <v>264</v>
      </c>
      <c r="C58" s="45"/>
      <c r="D58" s="45"/>
      <c r="E58" s="45"/>
      <c r="F58" s="45"/>
      <c r="G58" s="45"/>
      <c r="H58" s="44"/>
      <c r="I58" s="44"/>
      <c r="J58" s="45">
        <v>1</v>
      </c>
      <c r="K58" s="36">
        <v>2</v>
      </c>
      <c r="L58" s="36"/>
      <c r="M58" s="37"/>
      <c r="O58" s="38">
        <v>1</v>
      </c>
      <c r="P58" s="24">
        <v>2</v>
      </c>
      <c r="Q58" s="40"/>
      <c r="R58" s="41"/>
    </row>
    <row r="59" ht="181" customHeight="1" spans="1:18">
      <c r="A59" s="48"/>
      <c r="B59" s="46" t="s">
        <v>265</v>
      </c>
      <c r="C59" s="45"/>
      <c r="D59" s="45"/>
      <c r="E59" s="45"/>
      <c r="F59" s="45"/>
      <c r="G59" s="45"/>
      <c r="H59" s="44"/>
      <c r="I59" s="44"/>
      <c r="J59" s="45">
        <v>6</v>
      </c>
      <c r="K59" s="36">
        <v>10</v>
      </c>
      <c r="L59" s="36"/>
      <c r="M59" s="36">
        <v>3</v>
      </c>
      <c r="O59" s="38">
        <v>3</v>
      </c>
      <c r="P59" s="24">
        <v>4</v>
      </c>
      <c r="Q59" s="40"/>
      <c r="R59" s="40">
        <v>1</v>
      </c>
    </row>
    <row r="60" ht="33" customHeight="1" spans="1:18">
      <c r="A60" s="49"/>
      <c r="B60" s="50" t="s">
        <v>266</v>
      </c>
      <c r="C60" s="53"/>
      <c r="D60" s="53"/>
      <c r="E60" s="53"/>
      <c r="F60" s="51"/>
      <c r="G60" s="45"/>
      <c r="H60" s="50"/>
      <c r="I60" s="51"/>
      <c r="J60" s="45">
        <v>2</v>
      </c>
      <c r="K60" s="36">
        <v>3</v>
      </c>
      <c r="L60" s="36"/>
      <c r="M60" s="36"/>
      <c r="O60" s="38">
        <v>2</v>
      </c>
      <c r="P60" s="24">
        <v>2</v>
      </c>
      <c r="Q60" s="40"/>
      <c r="R60" s="40"/>
    </row>
    <row r="61" ht="187" customHeight="1" spans="1:18">
      <c r="A61" s="37" t="s">
        <v>267</v>
      </c>
      <c r="B61" s="44" t="s">
        <v>268</v>
      </c>
      <c r="C61" s="45"/>
      <c r="D61" s="45"/>
      <c r="E61" s="45"/>
      <c r="F61" s="45"/>
      <c r="G61" s="45"/>
      <c r="H61" s="44"/>
      <c r="I61" s="44"/>
      <c r="J61" s="45"/>
      <c r="K61" s="36"/>
      <c r="L61" s="36"/>
      <c r="M61" s="36"/>
      <c r="O61" s="38"/>
      <c r="P61" s="24"/>
      <c r="Q61" s="40"/>
      <c r="R61" s="40"/>
    </row>
    <row r="62" ht="408" customHeight="1" spans="1:18">
      <c r="A62" s="37"/>
      <c r="B62" s="46" t="s">
        <v>269</v>
      </c>
      <c r="C62" s="45"/>
      <c r="D62" s="45"/>
      <c r="E62" s="45"/>
      <c r="F62" s="45"/>
      <c r="G62" s="45"/>
      <c r="H62" s="44"/>
      <c r="I62" s="44"/>
      <c r="J62" s="45">
        <v>3</v>
      </c>
      <c r="K62" s="36">
        <v>10</v>
      </c>
      <c r="L62" s="36"/>
      <c r="M62" s="36">
        <v>3</v>
      </c>
      <c r="O62" s="38">
        <v>3</v>
      </c>
      <c r="P62" s="24">
        <v>6</v>
      </c>
      <c r="Q62" s="40"/>
      <c r="R62" s="40">
        <v>1</v>
      </c>
    </row>
    <row r="63" ht="408" customHeight="1" spans="1:18">
      <c r="A63" s="37"/>
      <c r="B63" s="46" t="s">
        <v>270</v>
      </c>
      <c r="C63" s="45"/>
      <c r="D63" s="45"/>
      <c r="E63" s="45"/>
      <c r="F63" s="45"/>
      <c r="G63" s="45"/>
      <c r="H63" s="44"/>
      <c r="I63" s="44"/>
      <c r="J63" s="45">
        <v>6</v>
      </c>
      <c r="K63" s="36">
        <v>10</v>
      </c>
      <c r="L63" s="36"/>
      <c r="M63" s="36">
        <v>3</v>
      </c>
      <c r="O63" s="38">
        <v>3</v>
      </c>
      <c r="P63" s="24">
        <v>6</v>
      </c>
      <c r="Q63" s="40"/>
      <c r="R63" s="40">
        <v>1</v>
      </c>
    </row>
    <row r="64" ht="113" customHeight="1" spans="1:18">
      <c r="A64" s="37"/>
      <c r="B64" s="44" t="s">
        <v>271</v>
      </c>
      <c r="C64" s="45"/>
      <c r="D64" s="45"/>
      <c r="E64" s="45"/>
      <c r="F64" s="45"/>
      <c r="G64" s="45"/>
      <c r="H64" s="44"/>
      <c r="I64" s="44"/>
      <c r="J64" s="45"/>
      <c r="K64" s="36"/>
      <c r="L64" s="36"/>
      <c r="M64" s="36"/>
      <c r="O64" s="38"/>
      <c r="P64" s="24"/>
      <c r="Q64" s="40"/>
      <c r="R64" s="40"/>
    </row>
    <row r="65" ht="159" customHeight="1" spans="1:18">
      <c r="A65" s="37"/>
      <c r="B65" s="46" t="s">
        <v>272</v>
      </c>
      <c r="C65" s="45"/>
      <c r="D65" s="45"/>
      <c r="E65" s="45"/>
      <c r="F65" s="45"/>
      <c r="G65" s="45"/>
      <c r="H65" s="44"/>
      <c r="I65" s="44"/>
      <c r="J65" s="45">
        <v>6</v>
      </c>
      <c r="K65" s="36">
        <v>4</v>
      </c>
      <c r="L65" s="36"/>
      <c r="M65" s="36">
        <v>2</v>
      </c>
      <c r="O65" s="38">
        <v>3</v>
      </c>
      <c r="P65" s="24">
        <v>3</v>
      </c>
      <c r="Q65" s="40"/>
      <c r="R65" s="40">
        <v>1</v>
      </c>
    </row>
    <row r="66" ht="155" customHeight="1" spans="1:18">
      <c r="A66" s="37"/>
      <c r="B66" s="44" t="s">
        <v>273</v>
      </c>
      <c r="C66" s="45"/>
      <c r="D66" s="45"/>
      <c r="E66" s="45"/>
      <c r="F66" s="45"/>
      <c r="G66" s="45"/>
      <c r="H66" s="44"/>
      <c r="I66" s="44"/>
      <c r="J66" s="45">
        <v>3</v>
      </c>
      <c r="K66" s="36">
        <v>5</v>
      </c>
      <c r="L66" s="36"/>
      <c r="M66" s="36">
        <v>1</v>
      </c>
      <c r="O66" s="38">
        <v>2</v>
      </c>
      <c r="P66" s="24">
        <v>3</v>
      </c>
      <c r="Q66" s="40"/>
      <c r="R66" s="40">
        <v>1</v>
      </c>
    </row>
    <row r="67" ht="82" customHeight="1" spans="1:18">
      <c r="A67" s="37" t="s">
        <v>274</v>
      </c>
      <c r="B67" s="44" t="s">
        <v>275</v>
      </c>
      <c r="C67" s="45"/>
      <c r="D67" s="45"/>
      <c r="E67" s="45"/>
      <c r="F67" s="45"/>
      <c r="G67" s="45"/>
      <c r="H67" s="44"/>
      <c r="I67" s="44"/>
      <c r="J67" s="45"/>
      <c r="K67" s="36"/>
      <c r="L67" s="36"/>
      <c r="M67" s="36"/>
      <c r="O67" s="38"/>
      <c r="P67" s="24"/>
      <c r="Q67" s="40"/>
      <c r="R67" s="40"/>
    </row>
    <row r="68" ht="134" customHeight="1" spans="1:18">
      <c r="A68" s="37"/>
      <c r="B68" s="44" t="s">
        <v>276</v>
      </c>
      <c r="C68" s="45"/>
      <c r="D68" s="45"/>
      <c r="E68" s="45"/>
      <c r="F68" s="45"/>
      <c r="G68" s="45"/>
      <c r="H68" s="44"/>
      <c r="I68" s="44"/>
      <c r="J68" s="45">
        <v>1</v>
      </c>
      <c r="K68" s="36">
        <v>6</v>
      </c>
      <c r="L68" s="36"/>
      <c r="M68" s="37">
        <v>2</v>
      </c>
      <c r="O68" s="38">
        <v>2</v>
      </c>
      <c r="P68" s="24">
        <v>2</v>
      </c>
      <c r="Q68" s="40"/>
      <c r="R68" s="41">
        <v>1</v>
      </c>
    </row>
    <row r="69" ht="68" customHeight="1" spans="1:18">
      <c r="A69" s="37"/>
      <c r="B69" s="44" t="s">
        <v>277</v>
      </c>
      <c r="C69" s="45"/>
      <c r="D69" s="45"/>
      <c r="E69" s="45"/>
      <c r="F69" s="45"/>
      <c r="G69" s="45"/>
      <c r="H69" s="44"/>
      <c r="I69" s="44"/>
      <c r="J69" s="45">
        <v>1</v>
      </c>
      <c r="K69" s="36">
        <v>1</v>
      </c>
      <c r="L69" s="36"/>
      <c r="M69" s="37"/>
      <c r="O69" s="38">
        <v>1</v>
      </c>
      <c r="P69" s="24">
        <v>1</v>
      </c>
      <c r="Q69" s="40"/>
      <c r="R69" s="41"/>
    </row>
    <row r="70" ht="88" customHeight="1" spans="1:18">
      <c r="A70" s="37"/>
      <c r="B70" s="44" t="s">
        <v>278</v>
      </c>
      <c r="C70" s="45"/>
      <c r="D70" s="45"/>
      <c r="E70" s="45"/>
      <c r="F70" s="45"/>
      <c r="G70" s="45"/>
      <c r="H70" s="44"/>
      <c r="I70" s="44"/>
      <c r="J70" s="45">
        <v>2</v>
      </c>
      <c r="K70" s="36">
        <v>2</v>
      </c>
      <c r="L70" s="36"/>
      <c r="M70" s="37"/>
      <c r="O70" s="38">
        <v>2</v>
      </c>
      <c r="P70" s="24">
        <v>2</v>
      </c>
      <c r="Q70" s="40"/>
      <c r="R70" s="41"/>
    </row>
    <row r="71" ht="80" customHeight="1" spans="1:18">
      <c r="A71" s="37"/>
      <c r="B71" s="44" t="s">
        <v>279</v>
      </c>
      <c r="C71" s="45"/>
      <c r="D71" s="45"/>
      <c r="E71" s="45"/>
      <c r="F71" s="45"/>
      <c r="G71" s="45"/>
      <c r="H71" s="44"/>
      <c r="I71" s="44"/>
      <c r="J71" s="45">
        <v>0.5</v>
      </c>
      <c r="K71" s="36">
        <v>0</v>
      </c>
      <c r="L71" s="36"/>
      <c r="M71" s="37"/>
      <c r="O71" s="38">
        <v>0.5</v>
      </c>
      <c r="P71" s="24">
        <v>0</v>
      </c>
      <c r="Q71" s="40"/>
      <c r="R71" s="41"/>
    </row>
    <row r="72" ht="100" customHeight="1" spans="1:18">
      <c r="A72" s="37"/>
      <c r="B72" s="44" t="s">
        <v>280</v>
      </c>
      <c r="C72" s="45"/>
      <c r="D72" s="45"/>
      <c r="E72" s="45"/>
      <c r="F72" s="45"/>
      <c r="G72" s="45"/>
      <c r="H72" s="44"/>
      <c r="I72" s="44"/>
      <c r="J72" s="45">
        <v>3</v>
      </c>
      <c r="K72" s="36">
        <v>5</v>
      </c>
      <c r="L72" s="36"/>
      <c r="M72" s="37">
        <v>2</v>
      </c>
      <c r="O72" s="38">
        <v>3</v>
      </c>
      <c r="P72" s="24">
        <v>3</v>
      </c>
      <c r="Q72" s="40"/>
      <c r="R72" s="41">
        <v>1</v>
      </c>
    </row>
    <row r="73" ht="110" customHeight="1" spans="1:18">
      <c r="A73" s="37"/>
      <c r="B73" s="44" t="s">
        <v>281</v>
      </c>
      <c r="C73" s="45"/>
      <c r="D73" s="45"/>
      <c r="E73" s="45"/>
      <c r="F73" s="45"/>
      <c r="G73" s="45"/>
      <c r="H73" s="44"/>
      <c r="I73" s="44"/>
      <c r="J73" s="45">
        <v>3</v>
      </c>
      <c r="K73" s="36">
        <v>5</v>
      </c>
      <c r="L73" s="36"/>
      <c r="M73" s="37"/>
      <c r="O73" s="38">
        <v>3</v>
      </c>
      <c r="P73" s="24">
        <v>3</v>
      </c>
      <c r="Q73" s="40"/>
      <c r="R73" s="41"/>
    </row>
    <row r="74" ht="147" customHeight="1" spans="1:18">
      <c r="A74" s="37" t="s">
        <v>282</v>
      </c>
      <c r="B74" s="44" t="s">
        <v>283</v>
      </c>
      <c r="C74" s="45"/>
      <c r="D74" s="45"/>
      <c r="E74" s="45"/>
      <c r="F74" s="45"/>
      <c r="G74" s="45"/>
      <c r="H74" s="44"/>
      <c r="I74" s="44"/>
      <c r="J74" s="45"/>
      <c r="K74" s="36"/>
      <c r="L74" s="36"/>
      <c r="M74" s="36"/>
      <c r="O74" s="38"/>
      <c r="P74" s="24"/>
      <c r="Q74" s="40"/>
      <c r="R74" s="40"/>
    </row>
    <row r="75" ht="117" customHeight="1" spans="1:18">
      <c r="A75" s="37"/>
      <c r="B75" s="46" t="s">
        <v>284</v>
      </c>
      <c r="C75" s="45"/>
      <c r="D75" s="45"/>
      <c r="E75" s="45"/>
      <c r="F75" s="45"/>
      <c r="G75" s="45"/>
      <c r="H75" s="44"/>
      <c r="I75" s="44"/>
      <c r="J75" s="45">
        <v>3</v>
      </c>
      <c r="K75" s="36">
        <v>6</v>
      </c>
      <c r="L75" s="36"/>
      <c r="M75" s="36">
        <v>1</v>
      </c>
      <c r="O75" s="38">
        <v>2</v>
      </c>
      <c r="P75" s="24">
        <v>3</v>
      </c>
      <c r="Q75" s="40"/>
      <c r="R75" s="40">
        <v>1</v>
      </c>
    </row>
    <row r="76" ht="107" customHeight="1" spans="1:18">
      <c r="A76" s="37"/>
      <c r="B76" s="44" t="s">
        <v>285</v>
      </c>
      <c r="C76" s="45"/>
      <c r="D76" s="45"/>
      <c r="E76" s="45"/>
      <c r="F76" s="45"/>
      <c r="G76" s="45"/>
      <c r="H76" s="44"/>
      <c r="I76" s="44"/>
      <c r="J76" s="45"/>
      <c r="K76" s="36"/>
      <c r="L76" s="36"/>
      <c r="M76" s="36"/>
      <c r="O76" s="38"/>
      <c r="P76" s="24"/>
      <c r="Q76" s="40"/>
      <c r="R76" s="40"/>
    </row>
    <row r="77" ht="107" customHeight="1" spans="1:18">
      <c r="A77" s="37"/>
      <c r="B77" s="46" t="s">
        <v>286</v>
      </c>
      <c r="C77" s="45"/>
      <c r="D77" s="45"/>
      <c r="E77" s="45"/>
      <c r="F77" s="45"/>
      <c r="G77" s="45"/>
      <c r="H77" s="44"/>
      <c r="I77" s="44"/>
      <c r="J77" s="45">
        <v>3</v>
      </c>
      <c r="K77" s="36">
        <v>6</v>
      </c>
      <c r="L77" s="36"/>
      <c r="M77" s="36">
        <v>1</v>
      </c>
      <c r="O77" s="38">
        <v>2</v>
      </c>
      <c r="P77" s="24">
        <v>3</v>
      </c>
      <c r="Q77" s="40"/>
      <c r="R77" s="40">
        <v>1</v>
      </c>
    </row>
    <row r="78" ht="238" customHeight="1" spans="1:18">
      <c r="A78" s="37" t="s">
        <v>287</v>
      </c>
      <c r="B78" s="44" t="s">
        <v>288</v>
      </c>
      <c r="C78" s="45"/>
      <c r="D78" s="45"/>
      <c r="E78" s="45"/>
      <c r="F78" s="45"/>
      <c r="G78" s="45"/>
      <c r="H78" s="44" t="s">
        <v>289</v>
      </c>
      <c r="I78" s="44"/>
      <c r="J78" s="45">
        <v>2</v>
      </c>
      <c r="K78" s="36">
        <v>2</v>
      </c>
      <c r="L78" s="36"/>
      <c r="M78" s="36">
        <v>1</v>
      </c>
      <c r="O78" s="38">
        <v>1</v>
      </c>
      <c r="P78" s="24">
        <v>1</v>
      </c>
      <c r="Q78" s="40"/>
      <c r="R78" s="40">
        <v>1</v>
      </c>
    </row>
    <row r="79" ht="93" customHeight="1" spans="1:18">
      <c r="A79" s="47" t="s">
        <v>290</v>
      </c>
      <c r="B79" s="46" t="s">
        <v>291</v>
      </c>
      <c r="C79" s="45"/>
      <c r="D79" s="45"/>
      <c r="E79" s="45"/>
      <c r="F79" s="45"/>
      <c r="G79" s="45"/>
      <c r="H79" s="54"/>
      <c r="I79" s="54"/>
      <c r="J79" s="45">
        <v>2</v>
      </c>
      <c r="K79" s="36">
        <v>2</v>
      </c>
      <c r="L79" s="36"/>
      <c r="M79" s="55">
        <v>1</v>
      </c>
      <c r="O79" s="38">
        <v>1</v>
      </c>
      <c r="P79" s="24">
        <v>1</v>
      </c>
      <c r="Q79" s="40"/>
      <c r="R79" s="56">
        <v>1</v>
      </c>
    </row>
    <row r="80" ht="30" customHeight="1" spans="1:18">
      <c r="A80" s="49"/>
      <c r="B80" s="57" t="s">
        <v>292</v>
      </c>
      <c r="C80" s="58"/>
      <c r="D80" s="58"/>
      <c r="E80" s="58"/>
      <c r="F80" s="59"/>
      <c r="G80" s="45"/>
      <c r="H80" s="50"/>
      <c r="I80" s="51"/>
      <c r="J80" s="45">
        <v>2</v>
      </c>
      <c r="K80" s="36">
        <v>0</v>
      </c>
      <c r="L80" s="36"/>
      <c r="M80" s="60"/>
      <c r="O80" s="38">
        <v>1</v>
      </c>
      <c r="P80" s="24"/>
      <c r="Q80" s="40"/>
      <c r="R80" s="61"/>
    </row>
    <row r="81" ht="69" customHeight="1" spans="1:18">
      <c r="A81" s="37" t="s">
        <v>293</v>
      </c>
      <c r="B81" s="44" t="s">
        <v>294</v>
      </c>
      <c r="C81" s="45"/>
      <c r="D81" s="45"/>
      <c r="E81" s="45"/>
      <c r="F81" s="45"/>
      <c r="G81" s="45"/>
      <c r="H81" s="44"/>
      <c r="I81" s="44"/>
      <c r="J81" s="45"/>
      <c r="K81" s="36"/>
      <c r="L81" s="36"/>
      <c r="M81" s="36"/>
      <c r="O81" s="38"/>
      <c r="P81" s="24"/>
      <c r="Q81" s="40"/>
      <c r="R81" s="40"/>
    </row>
    <row r="82" ht="409" customHeight="1" spans="1:18">
      <c r="A82" s="37"/>
      <c r="B82" s="26" t="s">
        <v>295</v>
      </c>
      <c r="C82" s="33"/>
      <c r="D82" s="33"/>
      <c r="E82" s="33"/>
      <c r="F82" s="33"/>
      <c r="G82" s="33"/>
      <c r="H82" s="46" t="s">
        <v>296</v>
      </c>
      <c r="I82" s="44"/>
      <c r="J82" s="45">
        <v>4</v>
      </c>
      <c r="K82" s="36">
        <v>6</v>
      </c>
      <c r="L82" s="36"/>
      <c r="M82" s="55">
        <v>2</v>
      </c>
      <c r="O82" s="38">
        <v>4</v>
      </c>
      <c r="P82" s="24">
        <v>4</v>
      </c>
      <c r="Q82" s="40"/>
      <c r="R82" s="56">
        <v>1</v>
      </c>
    </row>
    <row r="83" ht="254" customHeight="1" spans="1:18">
      <c r="A83" s="37"/>
      <c r="B83" s="43" t="s">
        <v>297</v>
      </c>
      <c r="C83" s="33"/>
      <c r="D83" s="33"/>
      <c r="E83" s="33"/>
      <c r="F83" s="33"/>
      <c r="G83" s="33"/>
      <c r="H83" s="44"/>
      <c r="I83" s="44"/>
      <c r="J83" s="45">
        <v>0.5</v>
      </c>
      <c r="K83" s="36">
        <v>2</v>
      </c>
      <c r="L83" s="36"/>
      <c r="M83" s="60"/>
      <c r="O83" s="38">
        <v>0.5</v>
      </c>
      <c r="P83" s="40">
        <v>2</v>
      </c>
      <c r="Q83" s="40"/>
      <c r="R83" s="61"/>
    </row>
    <row r="84" ht="167" customHeight="1" spans="1:18">
      <c r="A84" s="37" t="s">
        <v>298</v>
      </c>
      <c r="B84" s="44" t="s">
        <v>299</v>
      </c>
      <c r="C84" s="45"/>
      <c r="D84" s="45"/>
      <c r="E84" s="45"/>
      <c r="F84" s="45"/>
      <c r="G84" s="45"/>
      <c r="H84" s="44"/>
      <c r="I84" s="44"/>
      <c r="J84" s="45">
        <v>2</v>
      </c>
      <c r="K84" s="36">
        <v>8</v>
      </c>
      <c r="L84" s="36"/>
      <c r="M84" s="36">
        <v>2</v>
      </c>
      <c r="O84" s="38">
        <v>2</v>
      </c>
      <c r="P84" s="24">
        <v>4</v>
      </c>
      <c r="Q84" s="40"/>
      <c r="R84" s="40">
        <v>1</v>
      </c>
    </row>
    <row r="85" ht="152" customHeight="1" spans="1:18">
      <c r="A85" s="37"/>
      <c r="B85" s="44" t="s">
        <v>300</v>
      </c>
      <c r="C85" s="45"/>
      <c r="D85" s="45"/>
      <c r="E85" s="45"/>
      <c r="F85" s="45"/>
      <c r="G85" s="45"/>
      <c r="H85" s="44"/>
      <c r="I85" s="44"/>
      <c r="J85" s="45">
        <v>0</v>
      </c>
      <c r="K85" s="36">
        <v>8</v>
      </c>
      <c r="L85" s="36"/>
      <c r="M85" s="36">
        <v>2</v>
      </c>
      <c r="O85" s="38"/>
      <c r="P85" s="24">
        <v>4</v>
      </c>
      <c r="Q85" s="40"/>
      <c r="R85" s="40">
        <v>1</v>
      </c>
    </row>
    <row r="86" s="1" customFormat="1" ht="18" customHeight="1" spans="1:18">
      <c r="A86" s="62" t="s">
        <v>106</v>
      </c>
      <c r="B86" s="62"/>
      <c r="C86" s="62"/>
      <c r="D86" s="62"/>
      <c r="E86" s="62"/>
      <c r="F86" s="62"/>
      <c r="G86" s="62"/>
      <c r="H86" s="62"/>
      <c r="I86" s="62"/>
      <c r="J86" s="63">
        <f t="shared" ref="J86:P86" si="0">SUM(J6:J85)</f>
        <v>164</v>
      </c>
      <c r="K86" s="64">
        <f t="shared" si="0"/>
        <v>284</v>
      </c>
      <c r="L86" s="64">
        <v>20</v>
      </c>
      <c r="M86" s="64">
        <f t="shared" si="0"/>
        <v>72</v>
      </c>
      <c r="O86" s="65">
        <f t="shared" si="0"/>
        <v>116</v>
      </c>
      <c r="P86" s="66">
        <f t="shared" si="0"/>
        <v>144</v>
      </c>
      <c r="Q86" s="67"/>
      <c r="R86" s="67">
        <f>SUM(R6:R85)</f>
        <v>30</v>
      </c>
    </row>
    <row r="87" ht="20" customHeight="1" spans="1:18">
      <c r="A87" s="68" t="s">
        <v>107</v>
      </c>
      <c r="B87" s="68"/>
      <c r="C87" s="68"/>
      <c r="D87" s="68"/>
      <c r="E87" s="68"/>
      <c r="F87" s="68"/>
      <c r="G87" s="68"/>
      <c r="H87" s="68"/>
      <c r="I87" s="68"/>
      <c r="J87" s="68">
        <f>SUM(J86:M86)</f>
        <v>540</v>
      </c>
      <c r="K87" s="68"/>
      <c r="L87" s="68"/>
      <c r="M87" s="68"/>
      <c r="O87" s="39">
        <f>SUM(O86:R86)</f>
        <v>290</v>
      </c>
      <c r="P87" s="39"/>
      <c r="Q87" s="69"/>
      <c r="R87" s="69"/>
    </row>
    <row r="88" spans="1:18">
      <c r="A88" s="70"/>
    </row>
    <row r="89" spans="1:18">
      <c r="A89" s="70"/>
    </row>
    <row r="90" spans="1:18">
      <c r="A90" s="70"/>
    </row>
    <row r="91" spans="1:18">
      <c r="A91" s="70"/>
    </row>
    <row r="92" spans="1:18">
      <c r="A92" s="70"/>
    </row>
    <row r="93" spans="1:18">
      <c r="A93" s="70"/>
    </row>
    <row r="94" spans="1:18">
      <c r="A94" s="70"/>
    </row>
    <row r="95" spans="1:18">
      <c r="A95" s="70"/>
    </row>
    <row r="96" spans="1:18">
      <c r="A96" s="70"/>
    </row>
    <row r="97" spans="1:1">
      <c r="A97" s="70"/>
    </row>
    <row r="98" spans="1:1">
      <c r="A98" s="70"/>
    </row>
    <row r="99" spans="1:1">
      <c r="A99" s="70"/>
    </row>
    <row r="100" spans="1:1">
      <c r="A100" s="70"/>
    </row>
    <row r="101" spans="1:1">
      <c r="A101" s="70"/>
    </row>
    <row r="102" spans="1:1">
      <c r="A102" s="70"/>
    </row>
    <row r="103" spans="1:1">
      <c r="A103" s="70"/>
    </row>
    <row r="104" spans="1:1">
      <c r="A104" s="70"/>
    </row>
    <row r="105" spans="1:1">
      <c r="A105" s="70"/>
    </row>
    <row r="106" spans="1:1">
      <c r="A106" s="70"/>
    </row>
    <row r="107" spans="1:1">
      <c r="A107" s="70"/>
    </row>
    <row r="108" spans="1:1">
      <c r="A108" s="70"/>
    </row>
    <row r="109" spans="1:1">
      <c r="A109" s="70"/>
    </row>
    <row r="110" spans="1:1">
      <c r="A110" s="70"/>
    </row>
    <row r="111" spans="1:1">
      <c r="A111" s="70"/>
    </row>
    <row r="112" spans="1:1">
      <c r="A112" s="70"/>
    </row>
    <row r="113" spans="1:1">
      <c r="A113" s="70"/>
    </row>
    <row r="114" spans="1:1">
      <c r="A114" s="70"/>
    </row>
    <row r="115" spans="1:1">
      <c r="A115" s="70"/>
    </row>
    <row r="116" spans="1:1">
      <c r="A116" s="70"/>
    </row>
    <row r="117" spans="1:1">
      <c r="A117" s="70"/>
    </row>
    <row r="118" spans="1:1">
      <c r="A118" s="70"/>
    </row>
    <row r="119" spans="1:1">
      <c r="A119" s="70"/>
    </row>
    <row r="120" spans="1:1">
      <c r="A120" s="70"/>
    </row>
    <row r="121" spans="1:1">
      <c r="A121" s="70"/>
    </row>
    <row r="122" spans="1:1">
      <c r="A122" s="70"/>
    </row>
    <row r="123" spans="1:1">
      <c r="A123" s="70"/>
    </row>
    <row r="124" spans="1:1">
      <c r="A124" s="70"/>
    </row>
    <row r="125" spans="1:1">
      <c r="A125" s="70"/>
    </row>
    <row r="126" spans="1:1">
      <c r="A126" s="70"/>
    </row>
    <row r="127" spans="1:1">
      <c r="A127" s="70"/>
    </row>
    <row r="128" spans="1:1">
      <c r="A128" s="70"/>
    </row>
    <row r="129" spans="1:1">
      <c r="A129" s="70"/>
    </row>
  </sheetData>
  <mergeCells count="294">
    <mergeCell ref="B5:G5"/>
    <mergeCell ref="H5:I5"/>
    <mergeCell ref="B6:F6"/>
    <mergeCell ref="H6:I6"/>
    <mergeCell ref="B7:F7"/>
    <mergeCell ref="H7:I7"/>
    <mergeCell ref="B8:F8"/>
    <mergeCell ref="H8:I8"/>
    <mergeCell ref="B9:F9"/>
    <mergeCell ref="H9:I9"/>
    <mergeCell ref="B10:F10"/>
    <mergeCell ref="H10:I10"/>
    <mergeCell ref="B11:F11"/>
    <mergeCell ref="H11:I11"/>
    <mergeCell ref="B12:G12"/>
    <mergeCell ref="H12:I12"/>
    <mergeCell ref="B13:G13"/>
    <mergeCell ref="H13:I13"/>
    <mergeCell ref="B14:G14"/>
    <mergeCell ref="H14:I14"/>
    <mergeCell ref="B15:G15"/>
    <mergeCell ref="H15:I15"/>
    <mergeCell ref="B16:G16"/>
    <mergeCell ref="H16:I16"/>
    <mergeCell ref="B17:G17"/>
    <mergeCell ref="H17:I17"/>
    <mergeCell ref="B18:G18"/>
    <mergeCell ref="H18:I18"/>
    <mergeCell ref="B19:G19"/>
    <mergeCell ref="H19:I19"/>
    <mergeCell ref="B20:G20"/>
    <mergeCell ref="H20:I20"/>
    <mergeCell ref="B21:G21"/>
    <mergeCell ref="H21:I21"/>
    <mergeCell ref="B22:G22"/>
    <mergeCell ref="H22:I22"/>
    <mergeCell ref="B23:G23"/>
    <mergeCell ref="H23:I23"/>
    <mergeCell ref="B24:G24"/>
    <mergeCell ref="H24:I24"/>
    <mergeCell ref="B25:G25"/>
    <mergeCell ref="H25:I25"/>
    <mergeCell ref="B26:G26"/>
    <mergeCell ref="H26:I26"/>
    <mergeCell ref="B27:G27"/>
    <mergeCell ref="H27:I27"/>
    <mergeCell ref="B28:G28"/>
    <mergeCell ref="H28:I28"/>
    <mergeCell ref="B29:F29"/>
    <mergeCell ref="H29:I29"/>
    <mergeCell ref="B30:G30"/>
    <mergeCell ref="H30:I30"/>
    <mergeCell ref="B31:G31"/>
    <mergeCell ref="H31:I31"/>
    <mergeCell ref="B32:G32"/>
    <mergeCell ref="H32:I32"/>
    <mergeCell ref="B33:G33"/>
    <mergeCell ref="H33:I33"/>
    <mergeCell ref="B34:G34"/>
    <mergeCell ref="H34:I34"/>
    <mergeCell ref="B35:G35"/>
    <mergeCell ref="H35:I35"/>
    <mergeCell ref="B36:G36"/>
    <mergeCell ref="H36:I36"/>
    <mergeCell ref="B37:G37"/>
    <mergeCell ref="H37:I37"/>
    <mergeCell ref="B38:G38"/>
    <mergeCell ref="H38:I38"/>
    <mergeCell ref="B39:G39"/>
    <mergeCell ref="H39:I39"/>
    <mergeCell ref="B40:G40"/>
    <mergeCell ref="H40:I40"/>
    <mergeCell ref="B41:G41"/>
    <mergeCell ref="H41:I41"/>
    <mergeCell ref="B42:G42"/>
    <mergeCell ref="H42:I42"/>
    <mergeCell ref="B43:G43"/>
    <mergeCell ref="H43:I43"/>
    <mergeCell ref="B44:G44"/>
    <mergeCell ref="H44:I44"/>
    <mergeCell ref="B45:G45"/>
    <mergeCell ref="H45:I45"/>
    <mergeCell ref="B46:G46"/>
    <mergeCell ref="H46:I46"/>
    <mergeCell ref="B47:G47"/>
    <mergeCell ref="H47:I47"/>
    <mergeCell ref="B48:G48"/>
    <mergeCell ref="H48:I48"/>
    <mergeCell ref="B49:G49"/>
    <mergeCell ref="H49:I49"/>
    <mergeCell ref="B50:G50"/>
    <mergeCell ref="H50:I50"/>
    <mergeCell ref="B51:G51"/>
    <mergeCell ref="H51:I51"/>
    <mergeCell ref="B52:G52"/>
    <mergeCell ref="H52:I52"/>
    <mergeCell ref="B53:G53"/>
    <mergeCell ref="H53:I53"/>
    <mergeCell ref="B54:G54"/>
    <mergeCell ref="H54:I54"/>
    <mergeCell ref="B55:G55"/>
    <mergeCell ref="H55:I55"/>
    <mergeCell ref="B56:G56"/>
    <mergeCell ref="H56:I56"/>
    <mergeCell ref="B57:G57"/>
    <mergeCell ref="H57:I57"/>
    <mergeCell ref="B58:G58"/>
    <mergeCell ref="H58:I58"/>
    <mergeCell ref="B59:G59"/>
    <mergeCell ref="H59:I59"/>
    <mergeCell ref="B60:F60"/>
    <mergeCell ref="H60:I60"/>
    <mergeCell ref="B61:G61"/>
    <mergeCell ref="H61:I61"/>
    <mergeCell ref="B62:G62"/>
    <mergeCell ref="H62:I62"/>
    <mergeCell ref="B63:G63"/>
    <mergeCell ref="H63:I63"/>
    <mergeCell ref="B64:G64"/>
    <mergeCell ref="H64:I64"/>
    <mergeCell ref="B65:G65"/>
    <mergeCell ref="H65:I65"/>
    <mergeCell ref="B66:G66"/>
    <mergeCell ref="H66:I66"/>
    <mergeCell ref="B67:G67"/>
    <mergeCell ref="H67:I67"/>
    <mergeCell ref="B68:G68"/>
    <mergeCell ref="H68:I68"/>
    <mergeCell ref="B69:G69"/>
    <mergeCell ref="H69:I69"/>
    <mergeCell ref="B70:G70"/>
    <mergeCell ref="H70:I70"/>
    <mergeCell ref="B71:G71"/>
    <mergeCell ref="H71:I71"/>
    <mergeCell ref="B72:G72"/>
    <mergeCell ref="H72:I72"/>
    <mergeCell ref="B73:G73"/>
    <mergeCell ref="H73:I73"/>
    <mergeCell ref="B74:G74"/>
    <mergeCell ref="H74:I74"/>
    <mergeCell ref="B75:G75"/>
    <mergeCell ref="H75:I75"/>
    <mergeCell ref="B76:G76"/>
    <mergeCell ref="H76:I76"/>
    <mergeCell ref="B77:G77"/>
    <mergeCell ref="H77:I77"/>
    <mergeCell ref="B78:G78"/>
    <mergeCell ref="H78:I78"/>
    <mergeCell ref="B79:G79"/>
    <mergeCell ref="H79:I79"/>
    <mergeCell ref="B80:F80"/>
    <mergeCell ref="H80:I80"/>
    <mergeCell ref="B81:G81"/>
    <mergeCell ref="H81:I81"/>
    <mergeCell ref="B82:G82"/>
    <mergeCell ref="H82:I82"/>
    <mergeCell ref="B83:G83"/>
    <mergeCell ref="H83:I83"/>
    <mergeCell ref="B84:G84"/>
    <mergeCell ref="H84:I84"/>
    <mergeCell ref="B85:G85"/>
    <mergeCell ref="H85:I85"/>
    <mergeCell ref="A86:I86"/>
    <mergeCell ref="A87:I87"/>
    <mergeCell ref="J87:M87"/>
    <mergeCell ref="O87:R87"/>
    <mergeCell ref="B88:G88"/>
    <mergeCell ref="H88:I88"/>
    <mergeCell ref="B89:G89"/>
    <mergeCell ref="H89:I89"/>
    <mergeCell ref="B90:G90"/>
    <mergeCell ref="H90:I90"/>
    <mergeCell ref="B91:G91"/>
    <mergeCell ref="H91:I91"/>
    <mergeCell ref="B92:G92"/>
    <mergeCell ref="H92:I92"/>
    <mergeCell ref="B93:G93"/>
    <mergeCell ref="H93:I93"/>
    <mergeCell ref="B94:G94"/>
    <mergeCell ref="H94:I94"/>
    <mergeCell ref="B95:G95"/>
    <mergeCell ref="H95:I95"/>
    <mergeCell ref="B96:G96"/>
    <mergeCell ref="H96:I96"/>
    <mergeCell ref="B97:G97"/>
    <mergeCell ref="H97:I97"/>
    <mergeCell ref="B98:G98"/>
    <mergeCell ref="H98:I98"/>
    <mergeCell ref="B99:G99"/>
    <mergeCell ref="H99:I99"/>
    <mergeCell ref="B100:G100"/>
    <mergeCell ref="H100:I100"/>
    <mergeCell ref="B101:G101"/>
    <mergeCell ref="H101:I101"/>
    <mergeCell ref="B102:G102"/>
    <mergeCell ref="H102:I102"/>
    <mergeCell ref="B103:G103"/>
    <mergeCell ref="H103:I103"/>
    <mergeCell ref="B104:G104"/>
    <mergeCell ref="H104:I104"/>
    <mergeCell ref="B105:G105"/>
    <mergeCell ref="H105:I105"/>
    <mergeCell ref="B106:G106"/>
    <mergeCell ref="H106:I106"/>
    <mergeCell ref="B107:G107"/>
    <mergeCell ref="H107:I107"/>
    <mergeCell ref="B108:G108"/>
    <mergeCell ref="H108:I108"/>
    <mergeCell ref="B109:G109"/>
    <mergeCell ref="H109:I109"/>
    <mergeCell ref="B110:G110"/>
    <mergeCell ref="H110:I110"/>
    <mergeCell ref="B111:G111"/>
    <mergeCell ref="H111:I111"/>
    <mergeCell ref="B112:G112"/>
    <mergeCell ref="H112:I112"/>
    <mergeCell ref="B113:G113"/>
    <mergeCell ref="H113:I113"/>
    <mergeCell ref="B114:G114"/>
    <mergeCell ref="H114:I114"/>
    <mergeCell ref="B115:G115"/>
    <mergeCell ref="H115:I115"/>
    <mergeCell ref="B116:G116"/>
    <mergeCell ref="H116:I116"/>
    <mergeCell ref="B117:G117"/>
    <mergeCell ref="H117:I117"/>
    <mergeCell ref="B118:G118"/>
    <mergeCell ref="H118:I118"/>
    <mergeCell ref="B119:G119"/>
    <mergeCell ref="H119:I119"/>
    <mergeCell ref="B120:G120"/>
    <mergeCell ref="H120:I120"/>
    <mergeCell ref="B121:G121"/>
    <mergeCell ref="H121:I121"/>
    <mergeCell ref="B122:G122"/>
    <mergeCell ref="H122:I122"/>
    <mergeCell ref="B123:G123"/>
    <mergeCell ref="H123:I123"/>
    <mergeCell ref="B124:G124"/>
    <mergeCell ref="H124:I124"/>
    <mergeCell ref="B125:G125"/>
    <mergeCell ref="H125:I125"/>
    <mergeCell ref="B126:G126"/>
    <mergeCell ref="H126:I126"/>
    <mergeCell ref="B127:G127"/>
    <mergeCell ref="H127:I127"/>
    <mergeCell ref="B128:G128"/>
    <mergeCell ref="H128:I128"/>
    <mergeCell ref="B129:G129"/>
    <mergeCell ref="H129:I129"/>
    <mergeCell ref="A6:A11"/>
    <mergeCell ref="A12:A16"/>
    <mergeCell ref="A17:A22"/>
    <mergeCell ref="A23:A29"/>
    <mergeCell ref="A30:A35"/>
    <mergeCell ref="A36:A41"/>
    <mergeCell ref="A42:A47"/>
    <mergeCell ref="A48:A53"/>
    <mergeCell ref="A54:A60"/>
    <mergeCell ref="A61:A66"/>
    <mergeCell ref="A67:A73"/>
    <mergeCell ref="A74:A77"/>
    <mergeCell ref="A79:A80"/>
    <mergeCell ref="A81:A83"/>
    <mergeCell ref="A84:A85"/>
    <mergeCell ref="M12:M16"/>
    <mergeCell ref="M18:M19"/>
    <mergeCell ref="M20:M22"/>
    <mergeCell ref="M24:M28"/>
    <mergeCell ref="M31:M33"/>
    <mergeCell ref="M37:M39"/>
    <mergeCell ref="M43:M47"/>
    <mergeCell ref="M49:M50"/>
    <mergeCell ref="M51:M52"/>
    <mergeCell ref="M55:M58"/>
    <mergeCell ref="M68:M71"/>
    <mergeCell ref="M72:M73"/>
    <mergeCell ref="M79:M80"/>
    <mergeCell ref="M82:M83"/>
    <mergeCell ref="R12:R16"/>
    <mergeCell ref="R18:R19"/>
    <mergeCell ref="R20:R22"/>
    <mergeCell ref="R24:R28"/>
    <mergeCell ref="R31:R33"/>
    <mergeCell ref="R37:R39"/>
    <mergeCell ref="R43:R47"/>
    <mergeCell ref="R49:R50"/>
    <mergeCell ref="R51:R52"/>
    <mergeCell ref="R55:R58"/>
    <mergeCell ref="R68:R71"/>
    <mergeCell ref="R72:R73"/>
    <mergeCell ref="R79:R80"/>
    <mergeCell ref="R82:R83"/>
    <mergeCell ref="A1:M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综述</vt: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2026-03-20T07:03:00Z</dcterms:created>
  <dcterms:modified xsi:type="dcterms:W3CDTF">2026-04-15T12:55:41Z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D82DB82D7DA64FA2A67AC28AAEC1E224_13</vt:lpwstr>
  </property>
  <property fmtid="{D5CDD505-2E9C-101B-9397-08002B2CF9AE}" pid="3" name="KSOProductBuildVer">
    <vt:lpwstr>2052-12.1.0.25225</vt:lpwstr>
  </property>
  <property fmtid="{D5CDD505-2E9C-101B-9397-08002B2CF9AE}" pid="4" name="CalculationRule">
    <vt:i4>1</vt:i4>
  </property>
</Properties>
</file>