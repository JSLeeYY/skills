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27835434-606E-4E58-BCA0-26F1E276990D}" xr6:coauthVersionLast="47" xr6:coauthVersionMax="47" xr10:uidLastSave="{00000000-0000-0000-0000-000000000000}"/>
  <bookViews>
    <workbookView xWindow="-98" yWindow="-98" windowWidth="21795" windowHeight="12975" tabRatio="803" xr2:uid="{00000000-000D-0000-FFFF-FFFF00000000}"/>
  </bookViews>
  <sheets>
    <sheet name="10点桌面云方案" sheetId="1" r:id="rId1"/>
    <sheet name="方案描述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1" l="1"/>
  <c r="H6" i="1"/>
  <c r="H5" i="1"/>
  <c r="H4" i="1"/>
  <c r="H3" i="1"/>
  <c r="H8" i="1" l="1"/>
</calcChain>
</file>

<file path=xl/sharedStrings.xml><?xml version="1.0" encoding="utf-8"?>
<sst xmlns="http://schemas.openxmlformats.org/spreadsheetml/2006/main" count="43" uniqueCount="41">
  <si>
    <t>桌面云产品解决方案-方案1</t>
  </si>
  <si>
    <t>序号</t>
  </si>
  <si>
    <t>设备名称</t>
  </si>
  <si>
    <t>型号</t>
  </si>
  <si>
    <t>详细参数</t>
  </si>
  <si>
    <t>数量</t>
  </si>
  <si>
    <t>单位</t>
  </si>
  <si>
    <t>单价</t>
  </si>
  <si>
    <t>总价</t>
  </si>
  <si>
    <t>备注</t>
  </si>
  <si>
    <t>桌面云计算服务器</t>
  </si>
  <si>
    <t>H3C UIS 3000 G5</t>
  </si>
  <si>
    <t>1、产品配置：2U机架式服务器，配套标准导轨；            
2、CPU：8370C (2.8GHz 32-core 270W) *2；  
3、内存：192GB内存（32G DDR4-3200 *6) ；                                        
4、系统盘：2*480G SSD；                      
5、缓存盘：1*960 NVMe SSD缓存盘，作为热点数据的读写缓存，提高系统读写性能；
6、数据盘：3*4TB SAS HDD，2块960TB SSD作为虚机系统盘；
7、RAID卡：独立阵列卡，支持RAID 0/1/5； 
8、网口：4个千兆电口； 
9、冗余电源、风扇；
10、提供3年原厂质保服务。</t>
  </si>
  <si>
    <t>台</t>
  </si>
  <si>
    <t>桌面云管理平台</t>
  </si>
  <si>
    <t>H3C Workspace</t>
  </si>
  <si>
    <t>1、云桌面10个VDI授权服务;
2、云桌面管理系统规划部署服务;
3、提供三年软件技术支持服务。</t>
  </si>
  <si>
    <t>套</t>
  </si>
  <si>
    <t>办公云终端</t>
  </si>
  <si>
    <t>VDI-C1130-13</t>
  </si>
  <si>
    <t>H3C C1130 挂架云终端-ARM Cortex A55 4核/2GB LPDDR4/8GB EMMC/4*USB3.0/2*USB2.0/1*1000M/WiFi</t>
  </si>
  <si>
    <t>个</t>
  </si>
  <si>
    <t>显示器</t>
  </si>
  <si>
    <t>CP-M4-245F</t>
  </si>
  <si>
    <t>H3C M4-245F 商用显示器(2024款)-23.8吋1920x1080分辨率/VA屏/100Hz刷新率/300 cd/m2亮度/含HDMI线x1/三年先行更换</t>
  </si>
  <si>
    <t>接入交换机</t>
  </si>
  <si>
    <t>LS-5135S-28P-SI</t>
  </si>
  <si>
    <t>H3C S5135S-28P-SI L2以太网交换机主机,支持24个10/100/1000BASE-T电口,支持4个1000BASE-X SFP端口(无风扇静音),支持AC</t>
  </si>
  <si>
    <t>合计</t>
  </si>
  <si>
    <t>云桌面配置：</t>
  </si>
  <si>
    <t>单节点桌面配置</t>
  </si>
  <si>
    <t>vCPU 数量：4核
内存大小：12GB
系统盘容量：85GB SSD
数据盘容量：700GB HDD
操作系统配置：Linux</t>
  </si>
  <si>
    <t>功能描述：</t>
  </si>
  <si>
    <t>集中部署</t>
  </si>
  <si>
    <t>H3C云桌面VDI 模式下，所有环境和数据都运行、存储在后端虚拟化平台 / 服务器集群中，本地终端仅传输操作画面，不保存任何数据。</t>
  </si>
  <si>
    <t>终端出口管控</t>
  </si>
  <si>
    <t>1、 Workspace 的本地资源映射功能可以直接控制云桌面与本地终端的文件通道。支持在策略组中完全禁用本地磁盘映射，云桌面无法访问终端本地硬盘。
2、通过USB 重定向策略实现 U 盘 / 移动硬盘的管控。
3、通过 VDP 协议的剪贴板映射控制实现双向剪贴板管控。
4、在外设配置中控制打印机重定向。
5、结合网络白名单 + 桌面防火墙策略实现非授权外发通道管控。</t>
  </si>
  <si>
    <t>权限与审计</t>
  </si>
  <si>
    <t>华三 Workspace 可以和企业账号体系、权限管理系统联动，完整落地每一项要求。
1、对接企业 AD/LDAP 统一身份认证，员工工号与账号一一对应；支持账号唯一性校验，禁止共享账号；
2、按项目划分桌面资源池 / 安全组，仅为项目成员分配对应桌面 / 环境访问权限；
3、为用户账号配置有效期策略，到期自动禁用账号；
4、对接企业 HR 流程，员工离职 / 项目结束时，自动同步禁用账号、断开所有会话；
5、系统自带操作日志中心，记录用户登录、桌面连接、文件操作、外设访问等行为；
6、云桌面内的 Git 操作、IDE 文件修改、数据库访问，可通过 Workspace 审计 + 后端系统日志联动记录；</t>
  </si>
  <si>
    <t>高可用与恢复</t>
  </si>
  <si>
    <t>1、用户会话支持断线重连，终端断网 / 故障恢复后，可直接重新连接到原桌面，不丢失当前开发状态；
2、支持为模板桌面、用户桌面创建手动、定时快照，可按项目/用户设置快照保留策略（如保留最近7天/30 天快照）；
3、虚拟桌面的系统盘可通过虚拟化平台的备份工具，进行定时整机备份，支持增量备份、异地备份；可对接企业备份系统，实现代码仓库、数据库、日志平台的定期备份，支持数据恢复。
4、扩容：
① 横向扩容：支持按需向集群中新增计算、存储节点，无需停机即可扩展虚拟桌面承载能力，线性支撑研发人员增长；
②纵向扩容：单个虚拟桌面的 CPU、内存、磁盘资源可在线调整，满足不同项目的性能需求；
③资源池扩展：支持新增桌面资源池、接入新的存储、网络资源，适配二期项目扩展需求。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</si>
</sst>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#,##0.00_);[Red]\(#,##0.00\)"/>
  </numFmts>
  <fonts count="10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6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8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1" fillId="2" borderId="1" xfId="0" applyFont="1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vertical="center" wrapText="1"/>
    </xf>
    <xf numFmtId="176" fontId="0" fillId="0" borderId="0" xfId="0" applyNumberFormat="1" applyAlignment="1">
      <alignment vertical="center" wrapText="1"/>
    </xf>
    <xf numFmtId="177" fontId="0" fillId="0" borderId="0" xfId="0" applyNumberFormat="1" applyAlignment="1">
      <alignment horizontal="center" vertical="center" wrapText="1"/>
    </xf>
    <xf numFmtId="176" fontId="3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177" fontId="3" fillId="3" borderId="1" xfId="0" applyNumberFormat="1" applyFont="1" applyFill="1" applyBorder="1" applyAlignment="1" applyProtection="1">
      <alignment horizontal="center" vertical="center" wrapText="1"/>
      <protection locked="0"/>
    </xf>
    <xf numFmtId="176" fontId="4" fillId="4" borderId="2" xfId="0" applyNumberFormat="1" applyFont="1" applyFill="1" applyBorder="1" applyAlignment="1" applyProtection="1">
      <alignment horizontal="center" vertical="center" wrapText="1"/>
      <protection locked="0"/>
    </xf>
    <xf numFmtId="176" fontId="4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4" fillId="4" borderId="1" xfId="0" applyNumberFormat="1" applyFont="1" applyFill="1" applyBorder="1" applyAlignment="1" applyProtection="1">
      <alignment horizontal="left" vertical="center" wrapText="1"/>
      <protection locked="0"/>
    </xf>
    <xf numFmtId="177" fontId="5" fillId="0" borderId="1" xfId="0" applyNumberFormat="1" applyFont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 wrapText="1"/>
    </xf>
    <xf numFmtId="176" fontId="7" fillId="4" borderId="1" xfId="0" applyNumberFormat="1" applyFont="1" applyFill="1" applyBorder="1" applyAlignment="1" applyProtection="1">
      <alignment vertical="center" wrapText="1"/>
      <protection locked="0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176" fontId="1" fillId="0" borderId="3" xfId="0" applyNumberFormat="1" applyFont="1" applyBorder="1" applyAlignment="1">
      <alignment horizontal="center" vertical="center" wrapText="1"/>
    </xf>
    <xf numFmtId="176" fontId="1" fillId="0" borderId="4" xfId="0" applyNumberFormat="1" applyFont="1" applyBorder="1" applyAlignment="1">
      <alignment horizontal="center" vertical="center" wrapText="1"/>
    </xf>
    <xf numFmtId="176" fontId="1" fillId="0" borderId="5" xfId="0" applyNumberFormat="1" applyFont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www.wps.cn/officeDocument/2023/relationships/customStorage" Target="customStorage/customStorag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zoomScale="80" zoomScaleNormal="80" workbookViewId="0">
      <selection activeCell="I4" sqref="I4"/>
    </sheetView>
  </sheetViews>
  <sheetFormatPr defaultColWidth="8.9296875" defaultRowHeight="13.5" x14ac:dyDescent="0.3"/>
  <cols>
    <col min="1" max="1" width="5.9296875" style="7" customWidth="1"/>
    <col min="2" max="2" width="22.86328125" style="1" customWidth="1"/>
    <col min="3" max="3" width="25.19921875" style="1" customWidth="1"/>
    <col min="4" max="4" width="89.3984375" style="1" customWidth="1"/>
    <col min="5" max="6" width="5.9296875" style="1" customWidth="1"/>
    <col min="7" max="7" width="14.33203125" style="8" customWidth="1"/>
    <col min="8" max="8" width="19.53125" style="8" customWidth="1"/>
    <col min="9" max="9" width="19.73046875" style="1" customWidth="1"/>
    <col min="10" max="10" width="8.9296875" style="1"/>
    <col min="11" max="11" width="45" style="1" customWidth="1"/>
    <col min="12" max="16384" width="8.9296875" style="1"/>
  </cols>
  <sheetData>
    <row r="1" spans="1:9" ht="22.9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</row>
    <row r="2" spans="1:9" ht="16.899999999999999" x14ac:dyDescent="0.3">
      <c r="A2" s="9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1" t="s">
        <v>7</v>
      </c>
      <c r="H2" s="11" t="s">
        <v>8</v>
      </c>
      <c r="I2" s="10" t="s">
        <v>9</v>
      </c>
    </row>
    <row r="3" spans="1:9" ht="161.25" x14ac:dyDescent="0.3">
      <c r="A3" s="12">
        <v>1</v>
      </c>
      <c r="B3" s="13" t="s">
        <v>10</v>
      </c>
      <c r="C3" s="13" t="s">
        <v>11</v>
      </c>
      <c r="D3" s="14" t="s">
        <v>12</v>
      </c>
      <c r="E3" s="13">
        <v>1</v>
      </c>
      <c r="F3" s="13" t="s">
        <v>13</v>
      </c>
      <c r="G3" s="15">
        <v>119000</v>
      </c>
      <c r="H3" s="15">
        <f>G3*E3</f>
        <v>119000</v>
      </c>
      <c r="I3" s="17"/>
    </row>
    <row r="4" spans="1:9" ht="48.4" x14ac:dyDescent="0.3">
      <c r="A4" s="13">
        <v>2</v>
      </c>
      <c r="B4" s="13" t="s">
        <v>14</v>
      </c>
      <c r="C4" s="13" t="s">
        <v>15</v>
      </c>
      <c r="D4" s="14" t="s">
        <v>16</v>
      </c>
      <c r="E4" s="13">
        <v>1</v>
      </c>
      <c r="F4" s="13" t="s">
        <v>17</v>
      </c>
      <c r="G4" s="15">
        <v>17000</v>
      </c>
      <c r="H4" s="15">
        <f t="shared" ref="H4:H7" si="0">G4*E4</f>
        <v>17000</v>
      </c>
      <c r="I4" s="13"/>
    </row>
    <row r="5" spans="1:9" ht="33.75" customHeight="1" x14ac:dyDescent="0.3">
      <c r="A5" s="12">
        <v>3</v>
      </c>
      <c r="B5" s="13" t="s">
        <v>18</v>
      </c>
      <c r="C5" s="13" t="s">
        <v>19</v>
      </c>
      <c r="D5" s="14" t="s">
        <v>20</v>
      </c>
      <c r="E5" s="13">
        <v>10</v>
      </c>
      <c r="F5" s="13" t="s">
        <v>21</v>
      </c>
      <c r="G5" s="15">
        <v>2000</v>
      </c>
      <c r="H5" s="15">
        <f t="shared" si="0"/>
        <v>20000</v>
      </c>
      <c r="I5" s="13"/>
    </row>
    <row r="6" spans="1:9" ht="34.15" customHeight="1" x14ac:dyDescent="0.3">
      <c r="A6" s="13">
        <v>4</v>
      </c>
      <c r="B6" s="13" t="s">
        <v>22</v>
      </c>
      <c r="C6" s="13" t="s">
        <v>23</v>
      </c>
      <c r="D6" s="14" t="s">
        <v>24</v>
      </c>
      <c r="E6" s="13">
        <v>10</v>
      </c>
      <c r="F6" s="13" t="s">
        <v>13</v>
      </c>
      <c r="G6" s="15">
        <v>980</v>
      </c>
      <c r="H6" s="15">
        <f t="shared" si="0"/>
        <v>9800</v>
      </c>
      <c r="I6" s="13"/>
    </row>
    <row r="7" spans="1:9" ht="45.75" customHeight="1" x14ac:dyDescent="0.3">
      <c r="A7" s="12">
        <v>5</v>
      </c>
      <c r="B7" s="13" t="s">
        <v>25</v>
      </c>
      <c r="C7" s="13" t="s">
        <v>26</v>
      </c>
      <c r="D7" s="14" t="s">
        <v>27</v>
      </c>
      <c r="E7" s="13">
        <v>1</v>
      </c>
      <c r="F7" s="13" t="s">
        <v>13</v>
      </c>
      <c r="G7" s="15">
        <v>1500</v>
      </c>
      <c r="H7" s="15">
        <f t="shared" si="0"/>
        <v>1500</v>
      </c>
      <c r="I7" s="13"/>
    </row>
    <row r="8" spans="1:9" s="6" customFormat="1" ht="22.15" customHeight="1" x14ac:dyDescent="0.3">
      <c r="A8" s="20" t="s">
        <v>28</v>
      </c>
      <c r="B8" s="21"/>
      <c r="C8" s="21"/>
      <c r="D8" s="21"/>
      <c r="E8" s="21"/>
      <c r="F8" s="21"/>
      <c r="G8" s="22"/>
      <c r="H8" s="16">
        <f>SUM(H3:H7)</f>
        <v>167300</v>
      </c>
      <c r="I8" s="18"/>
    </row>
  </sheetData>
  <mergeCells count="2">
    <mergeCell ref="A1:I1"/>
    <mergeCell ref="A8:G8"/>
  </mergeCells>
  <phoneticPr fontId="9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E5" sqref="E5"/>
    </sheetView>
  </sheetViews>
  <sheetFormatPr defaultColWidth="8.86328125" defaultRowHeight="13.5" x14ac:dyDescent="0.3"/>
  <cols>
    <col min="1" max="1" width="5.6640625" customWidth="1"/>
    <col min="2" max="2" width="14.796875" customWidth="1"/>
    <col min="3" max="3" width="69.796875" style="1" customWidth="1"/>
  </cols>
  <sheetData>
    <row r="1" spans="1:3" x14ac:dyDescent="0.3">
      <c r="A1" s="2"/>
      <c r="B1" s="3" t="s">
        <v>29</v>
      </c>
      <c r="C1" s="4"/>
    </row>
    <row r="2" spans="1:3" ht="67.5" x14ac:dyDescent="0.3">
      <c r="A2" s="2"/>
      <c r="B2" s="5" t="s">
        <v>30</v>
      </c>
      <c r="C2" s="5" t="s">
        <v>31</v>
      </c>
    </row>
    <row r="3" spans="1:3" x14ac:dyDescent="0.3">
      <c r="A3" s="2"/>
      <c r="B3" s="3" t="s">
        <v>32</v>
      </c>
      <c r="C3" s="4"/>
    </row>
    <row r="4" spans="1:3" ht="27" x14ac:dyDescent="0.3">
      <c r="A4" s="2"/>
      <c r="B4" s="2" t="s">
        <v>33</v>
      </c>
      <c r="C4" s="5" t="s">
        <v>34</v>
      </c>
    </row>
    <row r="5" spans="1:3" ht="81" x14ac:dyDescent="0.3">
      <c r="A5" s="2"/>
      <c r="B5" s="2" t="s">
        <v>35</v>
      </c>
      <c r="C5" s="5" t="s">
        <v>36</v>
      </c>
    </row>
    <row r="6" spans="1:3" ht="175.5" x14ac:dyDescent="0.3">
      <c r="A6" s="2"/>
      <c r="B6" s="2" t="s">
        <v>37</v>
      </c>
      <c r="C6" s="5" t="s">
        <v>38</v>
      </c>
    </row>
    <row r="7" spans="1:3" ht="189" x14ac:dyDescent="0.3">
      <c r="A7" s="2"/>
      <c r="B7" s="2" t="s">
        <v>39</v>
      </c>
      <c r="C7" s="5" t="s">
        <v>40</v>
      </c>
    </row>
  </sheetData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10点桌面云方案</vt:lpstr>
      <vt:lpstr>方案描述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yangli (CHN-集团代表处)</dc:creator>
  <cp:lastModifiedBy>华杰 魏</cp:lastModifiedBy>
  <dcterms:created xsi:type="dcterms:W3CDTF">2024-03-11T14:13:00Z</dcterms:created>
  <dcterms:modified xsi:type="dcterms:W3CDTF">2026-05-15T06:50:20Z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CC140FDB72D048FA840BD9B031FC7062_12</vt:lpwstr>
  </property>
  <property fmtid="{D5CDD505-2E9C-101B-9397-08002B2CF9AE}" pid="3" name="KSOProductBuildVer">
    <vt:lpwstr>2052-12.1.0.21541</vt:lpwstr>
  </property>
</Properties>
</file>