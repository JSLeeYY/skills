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tabRatio="803"/>
  </bookViews>
  <sheets>
    <sheet name="10点桌面云方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<sst xmlns="http://schemas.openxmlformats.org/spreadsheetml/2006/main" count="31" uniqueCount="29">
  <si>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桌面云产品解决方案-方案1</t>
  </si>
  <si>
    <t>序号</t>
  </si>
  <si>
    <t>设备名称</t>
  </si>
  <si>
    <t>型号</t>
  </si>
  <si>
    <t>详细参数</t>
  </si>
  <si>
    <t>数量</t>
  </si>
  <si>
    <t>单位</t>
  </si>
  <si>
    <t>单价</t>
  </si>
  <si>
    <t>总价</t>
  </si>
  <si>
    <t>备注</t>
  </si>
  <si>
    <t>桌面云计算服务器</t>
  </si>
  <si>
    <t>H3C UIS 3000 G5</t>
  </si>
  <si>
    <t>1、产品配置：2U机架式服务器，配套标准导轨；            
2、CPU：4316 (2.3GHz 20-core 150W) ；  
3、内存：192GB内存（32G DDR4-3200 *6) ；                                        
4、系统盘：2*480G SSD；                      
5、缓存盘：1*960 NVMe SSD缓存盘，作为热点数据的读写缓存，提高系统读写性能；
6、数据盘：3*4TB SAS HDD，2块960TB SSD作为虚机系统盘；
7、RAID卡：独立阵列卡，支持RAID 0/1/5； 
8、网口：4个千兆电口； 
9、冗余电源、风扇；
10、提供3年原厂质保服务。</t>
  </si>
  <si>
    <t>台</t>
  </si>
  <si>
    <t>桌面云管理平台</t>
  </si>
  <si>
    <t>H3C Workspace</t>
  </si>
  <si>
    <t>1、云桌面10个VDI授权服务;
2、云桌面管理系统规划部署服务;
3、提供三年软件技术支持服务。</t>
  </si>
  <si>
    <t>套</t>
  </si>
  <si>
    <t>办公云终端</t>
  </si>
  <si>
    <t>VDI-C1130-13</t>
  </si>
  <si>
    <t>H3C C1130 挂架云终端-ARM Cortex A55 4核/2GB LPDDR4/8GB EMMC/4*USB3.0/2*USB2.0/1*1000M/WiFi</t>
  </si>
  <si>
    <t>个</t>
  </si>
  <si>
    <t>显示器</t>
  </si>
  <si>
    <t>CP-M4-245F</t>
  </si>
  <si>
    <t>H3C M4-245F 商用显示器(2024款)-23.8吋1920x1080分辨率/VA屏/100Hz刷新率/300 cd/m2亮度/含HDMI线x1/三年先行更换</t>
  </si>
  <si>
    <t>接入交换机</t>
  </si>
  <si>
    <t>LS-5135S-28P-SI</t>
  </si>
  <si>
    <t>H3C S5135S-28P-SI L2以太网交换机主机,支持24个10/100/1000BASE-T电口,支持4个1000BASE-X SFP端口(无风扇静音),支持AC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</si>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</sst>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#,##0.00_);[Red]\(#,##0.00\)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 applyBorder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7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177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4" fillId="3" borderId="2" xfId="0" applyNumberFormat="1" applyFont="1" applyFill="1" applyBorder="1" applyAlignment="1" applyProtection="1">
      <alignment horizontal="center" vertical="center" wrapText="1"/>
      <protection locked="0"/>
    </xf>
    <xf numFmtId="176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4" fillId="3" borderId="1" xfId="0" applyNumberFormat="1" applyFont="1" applyFill="1" applyBorder="1" applyAlignment="1" applyProtection="1">
      <alignment horizontal="left" vertical="center" wrapText="1"/>
      <protection locked="0"/>
    </xf>
    <xf numFmtId="177" fontId="5" fillId="0" borderId="1" xfId="0" applyNumberFormat="1" applyFont="1" applyBorder="1" applyAlignment="1">
      <alignment horizontal="center" vertical="center" wrapText="1"/>
    </xf>
    <xf numFmtId="176" fontId="6" fillId="3" borderId="1" xfId="0" applyNumberFormat="1" applyFont="1" applyFill="1" applyBorder="1" applyAlignment="1" applyProtection="1">
      <alignment vertical="center" wrapText="1"/>
      <protection locked="0"/>
    </xf>
    <xf numFmtId="176" fontId="1" fillId="0" borderId="3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="130" zoomScaleNormal="130" workbookViewId="0">
      <selection activeCell="A1" sqref="A1:I1"/>
    </sheetView>
  </sheetViews>
  <sheetFormatPr defaultColWidth="9.64545454545454" defaultRowHeight="14" outlineLevelRow="7"/>
  <cols>
    <col min="1" max="1" width="5.92727272727273" style="2" customWidth="1"/>
    <col min="2" max="2" width="22.8636363636364" style="3" customWidth="1"/>
    <col min="3" max="3" width="25.2" style="3" customWidth="1"/>
    <col min="4" max="4" width="89.4" style="3" customWidth="1"/>
    <col min="5" max="6" width="5.92727272727273" style="3" customWidth="1"/>
    <col min="7" max="7" width="14.3272727272727" style="4" customWidth="1"/>
    <col min="8" max="8" width="19.5363636363636" style="4" customWidth="1"/>
    <col min="9" max="9" width="19.7363636363636" style="3" customWidth="1"/>
    <col min="10" max="10" width="8.92727272727273" style="3"/>
    <col min="11" max="11" width="45" style="3" customWidth="1"/>
    <col min="12" max="16384" width="8.92727272727273" style="3"/>
  </cols>
  <sheetData>
    <row r="1" ht="22.5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ht="16.5" spans="1:9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8" t="s">
        <v>8</v>
      </c>
      <c r="I2" s="7" t="s">
        <v>9</v>
      </c>
    </row>
    <row r="3" ht="165" spans="1:9">
      <c r="A3" s="9">
        <v>1</v>
      </c>
      <c r="B3" s="10" t="s">
        <v>10</v>
      </c>
      <c r="C3" s="10" t="s">
        <v>11</v>
      </c>
      <c r="D3" s="11" t="s">
        <v>12</v>
      </c>
      <c r="E3" s="10">
        <v>1</v>
      </c>
      <c r="F3" s="10" t="s">
        <v>13</v>
      </c>
      <c r="G3" s="12">
        <v>95000</v>
      </c>
      <c r="H3" s="12">
        <f>G3*E3</f>
        <v>95000</v>
      </c>
      <c r="I3" s="13"/>
    </row>
    <row r="4" ht="49.5" spans="1:9">
      <c r="A4" s="10">
        <v>2</v>
      </c>
      <c r="B4" s="10" t="s">
        <v>14</v>
      </c>
      <c r="C4" s="10" t="s">
        <v>15</v>
      </c>
      <c r="D4" s="11" t="s">
        <v>16</v>
      </c>
      <c r="E4" s="10">
        <v>1</v>
      </c>
      <c r="F4" s="10" t="s">
        <v>17</v>
      </c>
      <c r="G4" s="12">
        <v>17000</v>
      </c>
      <c r="H4" s="12">
        <f t="shared" ref="H4:H7" si="0">G4*E4</f>
        <v>17000</v>
      </c>
      <c r="I4" s="10"/>
    </row>
    <row r="5" ht="33.75" customHeight="1" spans="1:9">
      <c r="A5" s="9">
        <v>3</v>
      </c>
      <c r="B5" s="10" t="s">
        <v>18</v>
      </c>
      <c r="C5" s="10" t="s">
        <v>19</v>
      </c>
      <c r="D5" s="11" t="s">
        <v>20</v>
      </c>
      <c r="E5" s="10">
        <v>10</v>
      </c>
      <c r="F5" s="10" t="s">
        <v>21</v>
      </c>
      <c r="G5" s="12">
        <v>2000</v>
      </c>
      <c r="H5" s="12">
        <f t="shared" si="0"/>
        <v>20000</v>
      </c>
      <c r="I5" s="10"/>
    </row>
    <row r="6" ht="34.15" customHeight="1" spans="1:9">
      <c r="A6" s="10">
        <v>4</v>
      </c>
      <c r="B6" s="10" t="s">
        <v>22</v>
      </c>
      <c r="C6" s="10" t="s">
        <v>23</v>
      </c>
      <c r="D6" s="11" t="s">
        <v>24</v>
      </c>
      <c r="E6" s="10">
        <v>10</v>
      </c>
      <c r="F6" s="10" t="s">
        <v>13</v>
      </c>
      <c r="G6" s="12">
        <v>980</v>
      </c>
      <c r="H6" s="12">
        <f t="shared" si="0"/>
        <v>9800</v>
      </c>
      <c r="I6" s="10"/>
    </row>
    <row r="7" ht="45.75" customHeight="1" spans="1:9">
      <c r="A7" s="9">
        <v>5</v>
      </c>
      <c r="B7" s="10" t="s">
        <v>25</v>
      </c>
      <c r="C7" s="10" t="s">
        <v>26</v>
      </c>
      <c r="D7" s="11" t="s">
        <v>27</v>
      </c>
      <c r="E7" s="10">
        <v>1</v>
      </c>
      <c r="F7" s="10" t="s">
        <v>13</v>
      </c>
      <c r="G7" s="12">
        <v>1500</v>
      </c>
      <c r="H7" s="12">
        <f t="shared" si="0"/>
        <v>1500</v>
      </c>
      <c r="I7" s="10"/>
    </row>
    <row r="8" s="1" customFormat="1" ht="22.15" customHeight="1" spans="1:9">
      <c r="A8" s="14" t="s">
        <v>28</v>
      </c>
      <c r="B8" s="15"/>
      <c r="C8" s="15"/>
      <c r="D8" s="15"/>
      <c r="E8" s="15"/>
      <c r="F8" s="15"/>
      <c r="G8" s="16"/>
      <c r="H8" s="17">
        <f>SUM(H3:H7)</f>
        <v>143300</v>
      </c>
      <c r="I8" s="18"/>
    </row>
  </sheetData>
  <mergeCells count="2">
    <mergeCell ref="A1:I1"/>
    <mergeCell ref="A8:G8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10点桌面云方案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 (CHN-集团代表处)</dc:creator>
  <cp:lastModifiedBy>不要说话</cp:lastModifiedBy>
  <dcterms:created xsi:type="dcterms:W3CDTF">2024-03-11T14:13:00Z</dcterms:created>
  <dcterms:modified xsi:type="dcterms:W3CDTF">2026-05-14T02:18:17Z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EF723CA5A6404FF2A2E293D0591C9A82_13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