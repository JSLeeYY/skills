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7590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<sst xmlns="http://schemas.openxmlformats.org/spreadsheetml/2006/main" count="150" uniqueCount="94">
  <si>
    <t>软件公司打分表</t>
  </si>
  <si>
    <t>公司</t>
  </si>
  <si>
    <t>公司规模</t>
  </si>
  <si>
    <t>提供人员及入厂时间</t>
  </si>
  <si>
    <t>开发维护参与度、需要求沟通积极性、便捷性</t>
  </si>
  <si>
    <t>技术方案及过往业绩</t>
  </si>
  <si>
    <t>合同付款意向</t>
  </si>
  <si>
    <t>技术分</t>
  </si>
  <si>
    <t>软件报价</t>
  </si>
  <si>
    <t>商务分</t>
  </si>
  <si>
    <t>总分</t>
  </si>
  <si>
    <t>否决项</t>
  </si>
  <si>
    <t>公司人员、规模、办公场所</t>
  </si>
  <si>
    <t>软件公司提供的人员配置</t>
  </si>
  <si>
    <t>合同签订后最快进场开发的时间</t>
  </si>
  <si>
    <t>是否可参与</t>
  </si>
  <si>
    <t>是否能够一起办公</t>
  </si>
  <si>
    <t>需求沟通的积极性</t>
  </si>
  <si>
    <t>需求沟通的便捷性及问题响应时间</t>
  </si>
  <si>
    <t>技术方案完备合理性</t>
  </si>
  <si>
    <t>报表业绩</t>
  </si>
  <si>
    <t>业务系统开发业绩</t>
  </si>
  <si>
    <t>打分</t>
  </si>
  <si>
    <t>15分</t>
  </si>
  <si>
    <t>10分</t>
  </si>
  <si>
    <t>5分</t>
  </si>
  <si>
    <t>100分</t>
  </si>
  <si>
    <t>比例70%</t>
  </si>
  <si>
    <t>打分(靶心价)</t>
  </si>
  <si>
    <t>打分（最低价）</t>
  </si>
  <si>
    <t>比例30%(靶心价)</t>
  </si>
  <si>
    <t>比例30%(最低价)</t>
  </si>
  <si>
    <t>√</t>
  </si>
  <si>
    <t>5人社保，有固定场所，注册资金100W</t>
  </si>
  <si>
    <t>项目经理1个人(管理项目进度，协调各方资源)、产品经理1个人(接业务与技术，需求文档+UI原型图+开发文档)、开发人员3个人(全栈技术1人，其他3人)，可以写JSP。</t>
  </si>
  <si>
    <t>3天，、UI一名驻场1个月,前端后端各1名驻场2个月
前后端驻场完成之后安排1名人员每周两天去现场或甲方来我公司
办公至2025年3月31日</t>
  </si>
  <si>
    <t>是</t>
  </si>
  <si>
    <t>郑州</t>
  </si>
  <si>
    <t>积极沟通
准确理解</t>
  </si>
  <si>
    <t>位于郑州，开发阶段入厂沟通（2024.10.31），维护阶段:在线沟通为主。</t>
  </si>
  <si>
    <t>升级改造比较细致
安全平台+门户改造有页面</t>
  </si>
  <si>
    <t>东软报表接触过未对接过，帆软报表报表使用使用过</t>
  </si>
  <si>
    <t>无安全、考试系统类似业绩</t>
  </si>
  <si>
    <t>同意</t>
  </si>
  <si>
    <t>0，有固定场所，0</t>
  </si>
  <si>
    <t>UI共1人，前端+后端2~3人，后端人员可以写JSP。</t>
  </si>
  <si>
    <t>7天，UI一名驻场1个月,前端后端各1名驻场2个月，前后端驻场完成之后安排1名人员每周两天去现场或甲方来我公司办公至2025年3月31日</t>
  </si>
  <si>
    <t>杭州</t>
  </si>
  <si>
    <t>位于杭州，为方便需求沟通和提升问题响应速度，可安排开发人员驻场（2024.10.31）</t>
  </si>
  <si>
    <t>包含安全平台+升级改造+门户</t>
  </si>
  <si>
    <t>有帆软和自定义报表经验</t>
  </si>
  <si>
    <t>安全、考试系统有类似业绩</t>
  </si>
  <si>
    <t>3个社保，有固定场地,注册资金350万(元)</t>
  </si>
  <si>
    <t>提供ui1人，产品1人，前端2人后端2人</t>
  </si>
  <si>
    <t>3天，UI一名驻场1个月,前端后端各1名驻场2个月，前后端驻场完成之后安排1名人员每周两天去现场或甲方来我公司办公至2025年3月31日</t>
  </si>
  <si>
    <t>南京</t>
  </si>
  <si>
    <t>沟通少</t>
  </si>
  <si>
    <t>位于南京，驻场期间一起办公（2024.10.31）</t>
  </si>
  <si>
    <t>缺升级改造内容，有安全、门户</t>
  </si>
  <si>
    <t>自有报表系统参照东软做。</t>
  </si>
  <si>
    <t>安全+考试系统做过，其他未做过，</t>
  </si>
  <si>
    <t>2人社保，有固定场所，注册资金98.9万(元)</t>
  </si>
  <si>
    <t>1个UI，2个后端，1个前端，合同签订后7天内入场</t>
  </si>
  <si>
    <t>7天，UI一名驻场1个月,前端1个后端2驻场2个月到10月31日，前后端各1个驻场至2025年3月31日，1个后端2025年6月31日</t>
  </si>
  <si>
    <t>多次沟通</t>
  </si>
  <si>
    <t>位于南京，驻场期间一起办公（2025.03.31）响应时间2小时以内。</t>
  </si>
  <si>
    <t>有安全、门户，升级改造简单</t>
  </si>
  <si>
    <t>永宏、帆软以及第3方报表</t>
  </si>
  <si>
    <t>安全、考试系统，像监理系统未做过</t>
  </si>
  <si>
    <t>4人社保，有固定场所，注册资金50万(元)</t>
  </si>
  <si>
    <t>UI 1名、前端1名、后端1名、测试1名</t>
  </si>
  <si>
    <t>3天，UI一名驻场1个月,前端后端各1名驻场2个月2、前后端驻场完成之后安排1名人员每周两天去现场或甲方来我公司办公至2025年3月31日</t>
  </si>
  <si>
    <t>位于南京，根据需求除了驻场办公(2024.10.31)外，随时去甲方现场或者线上沟通，或者来乙方一起办公</t>
  </si>
  <si>
    <t>只有考试、安全，其他没有</t>
  </si>
  <si>
    <t>考试系统有类似业绩</t>
  </si>
  <si>
    <t>南京诚迈</t>
  </si>
  <si>
    <t>3300人社保，有固定场所，注册资金5,577万(元)</t>
  </si>
  <si>
    <t>前端2名后端各2名驻场至10月31日，10月31后1名前端，两名jsp后端至12月31日，12月31日后留两名2名jsp后端程序员至2025年3月31日支撑三方华谊平台，东软报表联调及hse数据对接
3月31日后留一名jsp后端程序员至6月30日至华谊系统上线。</t>
  </si>
  <si>
    <t>公司位于南京，驻场办公(2024.3.31),线上问题随时可以沟通，线下2小时内抵达现场。</t>
  </si>
  <si>
    <t>时间紧，未做技术方案，依据大公司的规范程度评估</t>
  </si>
  <si>
    <t>熟悉标准化产品的架构并自行开发落地过多个报表系统</t>
  </si>
  <si>
    <t>有丰富的类似开发业绩</t>
  </si>
  <si>
    <t>800人社保，有固定场所，注册资金5,844万(元)</t>
  </si>
  <si>
    <t>项目经理*1人、需求设计*1人、后台开发*2到4人、前台开发*1人、测试*1人</t>
  </si>
  <si>
    <t>根据项目开发阶段及人员技能需求适时调整。</t>
  </si>
  <si>
    <t>项目组内会配备有专人进行业务需求沟通整理，客户方有需求沟通的需要时，随时可以按照客户方指定的时间进行安排。需说明的是，需求设计结束并对系统原型双方签字确认后，如果需求发生变更且评估后确认变更工作量较大，需要另行评估对开发工期的影响。
使用中的问题同样第一时间接收问题并当天进行响应，如果却因技术或其他关联第三方等原因当天无法解决的，会有业务沟通人员反馈给客户方对接人。</t>
  </si>
  <si>
    <t>智能制造行业软件系统中使用ActiveReport报表工具。
通信服务行业软件系统中使用帆软报表工具。</t>
  </si>
  <si>
    <t>不同意</t>
  </si>
  <si>
    <t>81人社保，有固定场所，注册资金45.5万(元)</t>
  </si>
  <si>
    <t>UI一名驻场1个月,前端后端各1名驻场2个月，前后端驻场完成之后安排1名人员每周两天去现场或甲方来我公司办公至2025年3月31日</t>
  </si>
  <si>
    <t>合肥</t>
  </si>
  <si>
    <t>正常沟通</t>
  </si>
  <si>
    <t>位于合肥，开发阶段入厂沟通（2024.10.31），驻厂结束每周两天去现场或甲方来我公司办公至2025年3月31日</t>
  </si>
  <si>
    <t>有财务报表的开发业绩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</si>
</sst>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11" applyNumberFormat="0" applyAlignment="0" applyProtection="0">
      <alignment vertical="center"/>
    </xf>
    <xf numFmtId="0" fontId="12" fillId="11" borderId="12" applyNumberFormat="0" applyAlignment="0" applyProtection="0">
      <alignment vertical="center"/>
    </xf>
    <xf numFmtId="0" fontId="13" fillId="11" borderId="11" applyNumberFormat="0" applyAlignment="0" applyProtection="0">
      <alignment vertical="center"/>
    </xf>
    <xf numFmtId="0" fontId="14" fillId="12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>
      <alignment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43" fontId="0" fillId="0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9" fontId="0" fillId="2" borderId="1" xfId="0" applyNumberFormat="1" applyFill="1" applyBorder="1" applyAlignment="1">
      <alignment horizontal="center" vertical="center" wrapText="1"/>
    </xf>
    <xf numFmtId="43" fontId="0" fillId="2" borderId="1" xfId="0" applyNumberForma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4"/>
  <sheetViews>
    <sheetView tabSelected="1" topLeftCell="A9" workbookViewId="0">
      <pane xSplit="1" topLeftCell="Z1" activePane="topRight" state="frozen"/>
      <selection/>
      <selection pane="topRight" activeCell="Z5" sqref="Z5:AB12"/>
    </sheetView>
  </sheetViews>
  <sheetFormatPr defaultColWidth="9" defaultRowHeight="14.1"/>
  <cols>
    <col min="1" max="1" width="11.8771929824561" customWidth="1"/>
    <col min="2" max="2" width="6" customWidth="1"/>
    <col min="3" max="3" width="18.2456140350877" style="2" customWidth="1"/>
    <col min="4" max="4" width="6.87719298245614" customWidth="1"/>
    <col min="5" max="5" width="24.2456140350877" customWidth="1"/>
    <col min="6" max="6" width="6.12280701754386" style="3" customWidth="1"/>
    <col min="7" max="7" width="30.2456140350877" customWidth="1"/>
    <col min="8" max="8" width="6.36842105263158" customWidth="1"/>
    <col min="9" max="9" width="9" style="3" customWidth="1"/>
    <col min="10" max="10" width="5.87719298245614" style="3" customWidth="1"/>
    <col min="11" max="11" width="14.1228070175439" style="3" customWidth="1"/>
    <col min="12" max="12" width="6" style="3" customWidth="1"/>
    <col min="13" max="13" width="14.1228070175439" style="3" customWidth="1"/>
    <col min="14" max="14" width="7.75438596491228" style="3" customWidth="1"/>
    <col min="15" max="15" width="23.6315789473684" customWidth="1"/>
    <col min="16" max="16" width="6.12280701754386" customWidth="1"/>
    <col min="17" max="17" width="23.6315789473684" customWidth="1"/>
    <col min="18" max="18" width="4.87719298245614" style="3" customWidth="1"/>
    <col min="19" max="19" width="9" customWidth="1"/>
    <col min="20" max="20" width="5.12280701754386" customWidth="1"/>
    <col min="21" max="21" width="9" style="3" customWidth="1"/>
    <col min="22" max="22" width="5.36842105263158" customWidth="1"/>
    <col min="23" max="23" width="6.24561403508772" style="3" customWidth="1"/>
    <col min="24" max="24" width="9.36842105263158" style="3" customWidth="1"/>
    <col min="25" max="25" width="9.24561403508772" style="3" customWidth="1"/>
    <col min="26" max="26" width="14.1228070175439" style="3" customWidth="1"/>
    <col min="27" max="27" width="12.8771929824561" style="3" customWidth="1"/>
    <col min="28" max="29" width="15" style="3" customWidth="1"/>
    <col min="30" max="30" width="14.7543859649123" style="3" customWidth="1"/>
    <col min="31" max="32" width="21" style="3" customWidth="1"/>
    <col min="33" max="33" width="8" customWidth="1"/>
  </cols>
  <sheetData>
    <row r="1" ht="25.5" spans="1:3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4">
      <c r="A2" s="5" t="s">
        <v>1</v>
      </c>
      <c r="B2" s="6" t="s">
        <v>2</v>
      </c>
      <c r="C2" s="6"/>
      <c r="D2" s="6" t="s">
        <v>3</v>
      </c>
      <c r="E2" s="6"/>
      <c r="F2" s="6"/>
      <c r="G2" s="6"/>
      <c r="H2" s="6" t="s">
        <v>4</v>
      </c>
      <c r="I2" s="6"/>
      <c r="J2" s="6"/>
      <c r="K2" s="6"/>
      <c r="L2" s="6"/>
      <c r="M2" s="6"/>
      <c r="N2" s="6"/>
      <c r="O2" s="6"/>
      <c r="P2" s="6" t="s">
        <v>5</v>
      </c>
      <c r="Q2" s="6"/>
      <c r="R2" s="6"/>
      <c r="S2" s="6"/>
      <c r="T2" s="6"/>
      <c r="U2" s="6"/>
      <c r="V2" s="6" t="s">
        <v>6</v>
      </c>
      <c r="W2" s="6"/>
      <c r="X2" s="7" t="s">
        <v>7</v>
      </c>
      <c r="Y2" s="8"/>
      <c r="Z2" s="9" t="s">
        <v>8</v>
      </c>
      <c r="AA2" s="10"/>
      <c r="AB2" s="11"/>
      <c r="AC2" s="12" t="s">
        <v>9</v>
      </c>
      <c r="AD2" s="13"/>
      <c r="AE2" s="12" t="s">
        <v>10</v>
      </c>
      <c r="AF2" s="13"/>
      <c r="AG2" s="6" t="s">
        <v>11</v>
      </c>
      <c r="AH2" s="3"/>
    </row>
    <row r="3" spans="1:34">
      <c r="A3" s="5"/>
      <c r="B3" s="6" t="s">
        <v>12</v>
      </c>
      <c r="C3" s="6"/>
      <c r="D3" s="6" t="s">
        <v>13</v>
      </c>
      <c r="E3" s="6"/>
      <c r="F3" s="6" t="s">
        <v>14</v>
      </c>
      <c r="G3" s="6"/>
      <c r="H3" s="6" t="s">
        <v>15</v>
      </c>
      <c r="I3" s="6"/>
      <c r="J3" s="6" t="s">
        <v>16</v>
      </c>
      <c r="K3" s="6"/>
      <c r="L3" s="6" t="s">
        <v>17</v>
      </c>
      <c r="M3" s="6"/>
      <c r="N3" s="14" t="s">
        <v>18</v>
      </c>
      <c r="O3" s="15"/>
      <c r="P3" s="6" t="s">
        <v>19</v>
      </c>
      <c r="Q3" s="6"/>
      <c r="R3" s="6" t="s">
        <v>20</v>
      </c>
      <c r="S3" s="6"/>
      <c r="T3" s="6" t="s">
        <v>21</v>
      </c>
      <c r="U3" s="6"/>
      <c r="V3" s="6"/>
      <c r="W3" s="6"/>
      <c r="X3" s="16"/>
      <c r="Y3" s="17"/>
      <c r="Z3" s="18"/>
      <c r="AA3" s="19"/>
      <c r="AB3" s="20"/>
      <c r="AC3" s="21"/>
      <c r="AD3" s="22"/>
      <c r="AE3" s="21"/>
      <c r="AF3" s="22"/>
      <c r="AG3" s="6"/>
      <c r="AH3" s="3"/>
    </row>
    <row r="4" spans="1:34">
      <c r="A4" s="5"/>
      <c r="B4" s="23" t="s">
        <v>22</v>
      </c>
      <c r="C4" s="24" t="s">
        <v>23</v>
      </c>
      <c r="D4" s="23" t="s">
        <v>22</v>
      </c>
      <c r="E4" s="25" t="s">
        <v>24</v>
      </c>
      <c r="F4" s="23" t="s">
        <v>22</v>
      </c>
      <c r="G4" s="25" t="s">
        <v>24</v>
      </c>
      <c r="H4" s="23" t="s">
        <v>22</v>
      </c>
      <c r="I4" s="25" t="s">
        <v>24</v>
      </c>
      <c r="J4" s="23" t="s">
        <v>22</v>
      </c>
      <c r="K4" s="25" t="s">
        <v>24</v>
      </c>
      <c r="L4" s="23" t="s">
        <v>22</v>
      </c>
      <c r="M4" s="25" t="s">
        <v>25</v>
      </c>
      <c r="N4" s="23" t="s">
        <v>22</v>
      </c>
      <c r="O4" s="25" t="s">
        <v>24</v>
      </c>
      <c r="P4" s="23" t="s">
        <v>22</v>
      </c>
      <c r="Q4" s="25" t="s">
        <v>25</v>
      </c>
      <c r="R4" s="23" t="s">
        <v>22</v>
      </c>
      <c r="S4" s="26" t="s">
        <v>24</v>
      </c>
      <c r="T4" s="27" t="s">
        <v>22</v>
      </c>
      <c r="U4" s="25" t="s">
        <v>25</v>
      </c>
      <c r="V4" s="23" t="s">
        <v>22</v>
      </c>
      <c r="W4" s="25"/>
      <c r="X4" s="25" t="s">
        <v>26</v>
      </c>
      <c r="Y4" s="23" t="s">
        <v>27</v>
      </c>
      <c r="Z4" s="25" t="s">
        <v>8</v>
      </c>
      <c r="AA4" s="25" t="s">
        <v>28</v>
      </c>
      <c r="AB4" s="25" t="s">
        <v>29</v>
      </c>
      <c r="AC4" s="23" t="s">
        <v>28</v>
      </c>
      <c r="AD4" s="23" t="s">
        <v>29</v>
      </c>
      <c r="AE4" s="28" t="s">
        <v>30</v>
      </c>
      <c r="AF4" s="28" t="s">
        <v>31</v>
      </c>
      <c r="AG4" s="25" t="s">
        <v>32</v>
      </c>
    </row>
    <row r="5" ht="98.7" spans="1:34">
      <c r="A5" s="29"/>
      <c r="B5" s="30"/>
      <c r="C5" s="31" t="s">
        <v>33</v>
      </c>
      <c r="D5" s="30"/>
      <c r="E5" s="31" t="s">
        <v>34</v>
      </c>
      <c r="F5" s="23"/>
      <c r="G5" s="32" t="s">
        <v>35</v>
      </c>
      <c r="H5" s="23"/>
      <c r="I5" s="33" t="s">
        <v>36</v>
      </c>
      <c r="J5" s="23"/>
      <c r="K5" s="33" t="s">
        <v>37</v>
      </c>
      <c r="L5" s="23"/>
      <c r="M5" s="34" t="s">
        <v>38</v>
      </c>
      <c r="N5" s="23"/>
      <c r="O5" s="32" t="s">
        <v>39</v>
      </c>
      <c r="P5" s="30"/>
      <c r="Q5" s="32" t="s">
        <v>40</v>
      </c>
      <c r="R5" s="23"/>
      <c r="S5" s="31" t="s">
        <v>41</v>
      </c>
      <c r="T5" s="30"/>
      <c r="U5" s="35" t="s">
        <v>42</v>
      </c>
      <c r="V5" s="23"/>
      <c r="W5" s="33" t="s">
        <v>43</v>
      </c>
      <c r="X5" s="33">
        <f t="shared" ref="X5:X12" si="0">SUM(B5:V5)</f>
        <v>0</v>
      </c>
      <c r="Y5" s="23">
        <f>X5*0.7</f>
        <v>0</v>
      </c>
      <c r="Z5" s="36"/>
      <c r="AA5" s="33"/>
      <c r="AB5" s="33"/>
      <c r="AC5" s="23">
        <f>AA5*0.3</f>
        <v>0</v>
      </c>
      <c r="AD5" s="23">
        <f t="shared" ref="AD5:AD12" si="1">AB5*0.3</f>
        <v>0</v>
      </c>
      <c r="AE5" s="37">
        <f t="shared" ref="AE5:AE12" si="2">Y5+AC5</f>
        <v>0</v>
      </c>
      <c r="AF5" s="23">
        <f t="shared" ref="AF5:AF12" si="3">Y5+AD5</f>
        <v>0</v>
      </c>
      <c r="AG5" s="33" t="s">
        <v>32</v>
      </c>
    </row>
    <row r="6" ht="70.5" spans="1:34">
      <c r="A6" s="29"/>
      <c r="B6" s="23"/>
      <c r="C6" s="31" t="s">
        <v>44</v>
      </c>
      <c r="D6" s="23"/>
      <c r="E6" s="31" t="s">
        <v>45</v>
      </c>
      <c r="F6" s="23"/>
      <c r="G6" s="32" t="s">
        <v>46</v>
      </c>
      <c r="H6" s="23"/>
      <c r="I6" s="33" t="s">
        <v>36</v>
      </c>
      <c r="J6" s="23"/>
      <c r="K6" s="33" t="s">
        <v>47</v>
      </c>
      <c r="L6" s="23"/>
      <c r="M6" s="34" t="s">
        <v>38</v>
      </c>
      <c r="N6" s="23"/>
      <c r="O6" s="32" t="s">
        <v>48</v>
      </c>
      <c r="P6" s="30"/>
      <c r="Q6" s="32" t="s">
        <v>49</v>
      </c>
      <c r="R6" s="23"/>
      <c r="S6" s="31" t="s">
        <v>50</v>
      </c>
      <c r="T6" s="30"/>
      <c r="U6" s="35" t="s">
        <v>51</v>
      </c>
      <c r="V6" s="23"/>
      <c r="W6" s="33" t="s">
        <v>43</v>
      </c>
      <c r="X6" s="33">
        <f t="shared" si="0"/>
        <v>0</v>
      </c>
      <c r="Y6" s="23">
        <f t="shared" ref="Y6:Y12" si="4">X6*0.7</f>
        <v>0</v>
      </c>
      <c r="Z6" s="36"/>
      <c r="AA6" s="33"/>
      <c r="AB6" s="33"/>
      <c r="AC6" s="23">
        <f t="shared" ref="AC6:AC12" si="5">AA6*0.3</f>
        <v>0</v>
      </c>
      <c r="AD6" s="23">
        <f t="shared" si="1"/>
        <v>0</v>
      </c>
      <c r="AE6" s="23">
        <f t="shared" si="2"/>
        <v>0</v>
      </c>
      <c r="AF6" s="23">
        <f t="shared" si="3"/>
        <v>0</v>
      </c>
      <c r="AG6" s="33" t="s">
        <v>32</v>
      </c>
    </row>
    <row r="7" ht="70.5" spans="1:34">
      <c r="A7" s="29"/>
      <c r="B7" s="23"/>
      <c r="C7" s="38" t="s">
        <v>52</v>
      </c>
      <c r="D7" s="23"/>
      <c r="E7" s="38" t="s">
        <v>53</v>
      </c>
      <c r="F7" s="23"/>
      <c r="G7" s="32" t="s">
        <v>54</v>
      </c>
      <c r="H7" s="23"/>
      <c r="I7" s="33" t="s">
        <v>36</v>
      </c>
      <c r="J7" s="23"/>
      <c r="K7" s="33" t="s">
        <v>55</v>
      </c>
      <c r="L7" s="23"/>
      <c r="M7" s="33" t="s">
        <v>56</v>
      </c>
      <c r="N7" s="23"/>
      <c r="O7" s="32" t="s">
        <v>57</v>
      </c>
      <c r="P7" s="23"/>
      <c r="Q7" s="39" t="s">
        <v>58</v>
      </c>
      <c r="R7" s="23"/>
      <c r="S7" s="38" t="s">
        <v>59</v>
      </c>
      <c r="T7" s="30"/>
      <c r="U7" s="35" t="s">
        <v>60</v>
      </c>
      <c r="V7" s="23"/>
      <c r="W7" s="33" t="s">
        <v>43</v>
      </c>
      <c r="X7" s="33">
        <f t="shared" si="0"/>
        <v>0</v>
      </c>
      <c r="Y7" s="23">
        <f t="shared" si="4"/>
        <v>0</v>
      </c>
      <c r="Z7" s="36"/>
      <c r="AA7" s="33"/>
      <c r="AB7" s="33"/>
      <c r="AC7" s="23">
        <f t="shared" si="5"/>
        <v>0</v>
      </c>
      <c r="AD7" s="23">
        <f t="shared" si="1"/>
        <v>0</v>
      </c>
      <c r="AE7" s="23">
        <f t="shared" si="2"/>
        <v>0</v>
      </c>
      <c r="AF7" s="37">
        <f t="shared" si="3"/>
        <v>0</v>
      </c>
      <c r="AG7" s="33" t="s">
        <v>32</v>
      </c>
    </row>
    <row r="8" ht="56.4" spans="1:34">
      <c r="A8" s="29"/>
      <c r="B8" s="23"/>
      <c r="C8" s="31" t="s">
        <v>61</v>
      </c>
      <c r="D8" s="23"/>
      <c r="E8" s="31" t="s">
        <v>62</v>
      </c>
      <c r="F8" s="23"/>
      <c r="G8" s="38" t="s">
        <v>63</v>
      </c>
      <c r="H8" s="23"/>
      <c r="I8" s="33" t="s">
        <v>36</v>
      </c>
      <c r="J8" s="23"/>
      <c r="K8" s="33" t="s">
        <v>55</v>
      </c>
      <c r="L8" s="23"/>
      <c r="M8" s="34" t="s">
        <v>64</v>
      </c>
      <c r="N8" s="23"/>
      <c r="O8" s="32" t="s">
        <v>65</v>
      </c>
      <c r="P8" s="23"/>
      <c r="Q8" s="39" t="s">
        <v>66</v>
      </c>
      <c r="R8" s="23"/>
      <c r="S8" s="31" t="s">
        <v>67</v>
      </c>
      <c r="T8" s="30"/>
      <c r="U8" s="35" t="s">
        <v>68</v>
      </c>
      <c r="V8" s="23"/>
      <c r="W8" s="33" t="s">
        <v>43</v>
      </c>
      <c r="X8" s="33">
        <f t="shared" si="0"/>
        <v>0</v>
      </c>
      <c r="Y8" s="23">
        <f t="shared" si="4"/>
        <v>0</v>
      </c>
      <c r="Z8" s="36"/>
      <c r="AA8" s="33"/>
      <c r="AB8" s="33"/>
      <c r="AC8" s="23">
        <f t="shared" si="5"/>
        <v>0</v>
      </c>
      <c r="AD8" s="23">
        <f t="shared" si="1"/>
        <v>0</v>
      </c>
      <c r="AE8" s="23">
        <f t="shared" si="2"/>
        <v>0</v>
      </c>
      <c r="AF8" s="37">
        <f t="shared" si="3"/>
        <v>0</v>
      </c>
      <c r="AG8" s="33" t="s">
        <v>32</v>
      </c>
    </row>
    <row r="9" ht="70.5" spans="1:34">
      <c r="A9" s="29"/>
      <c r="B9" s="23"/>
      <c r="C9" s="31" t="s">
        <v>69</v>
      </c>
      <c r="D9" s="23"/>
      <c r="E9" s="38" t="s">
        <v>70</v>
      </c>
      <c r="F9" s="23"/>
      <c r="G9" s="32" t="s">
        <v>71</v>
      </c>
      <c r="H9" s="23"/>
      <c r="I9" s="33" t="s">
        <v>36</v>
      </c>
      <c r="J9" s="23"/>
      <c r="K9" s="33" t="s">
        <v>55</v>
      </c>
      <c r="L9" s="23"/>
      <c r="M9" s="33" t="s">
        <v>64</v>
      </c>
      <c r="N9" s="23"/>
      <c r="O9" s="32" t="s">
        <v>72</v>
      </c>
      <c r="P9" s="30"/>
      <c r="Q9" s="32" t="s">
        <v>73</v>
      </c>
      <c r="R9" s="23"/>
      <c r="S9" s="31" t="s">
        <v>50</v>
      </c>
      <c r="T9" s="30"/>
      <c r="U9" s="35" t="s">
        <v>74</v>
      </c>
      <c r="V9" s="23"/>
      <c r="W9" s="33" t="s">
        <v>43</v>
      </c>
      <c r="X9" s="33">
        <f t="shared" si="0"/>
        <v>0</v>
      </c>
      <c r="Y9" s="23">
        <f t="shared" si="4"/>
        <v>0</v>
      </c>
      <c r="Z9" s="36"/>
      <c r="AA9" s="33"/>
      <c r="AB9" s="33"/>
      <c r="AC9" s="23">
        <f t="shared" si="5"/>
        <v>0</v>
      </c>
      <c r="AD9" s="23">
        <f t="shared" si="1"/>
        <v>0</v>
      </c>
      <c r="AE9" s="37">
        <f t="shared" si="2"/>
        <v>0</v>
      </c>
      <c r="AF9" s="23">
        <f t="shared" si="3"/>
        <v>0</v>
      </c>
      <c r="AG9" s="33" t="s">
        <v>32</v>
      </c>
    </row>
    <row r="10" s="1" customFormat="1" ht="141" spans="1:34">
      <c r="A10" s="40" t="s">
        <v>75</v>
      </c>
      <c r="B10" s="41"/>
      <c r="C10" s="42" t="s">
        <v>76</v>
      </c>
      <c r="D10" s="41"/>
      <c r="E10" s="42" t="s">
        <v>77</v>
      </c>
      <c r="F10" s="41"/>
      <c r="G10" s="42" t="s">
        <v>77</v>
      </c>
      <c r="H10" s="41"/>
      <c r="I10" s="41" t="s">
        <v>36</v>
      </c>
      <c r="J10" s="41"/>
      <c r="K10" s="41" t="s">
        <v>55</v>
      </c>
      <c r="L10" s="41"/>
      <c r="M10" s="41" t="s">
        <v>64</v>
      </c>
      <c r="N10" s="41"/>
      <c r="O10" s="42" t="s">
        <v>78</v>
      </c>
      <c r="P10" s="43"/>
      <c r="Q10" s="42" t="s">
        <v>79</v>
      </c>
      <c r="R10" s="41"/>
      <c r="S10" s="43" t="s">
        <v>80</v>
      </c>
      <c r="T10" s="41"/>
      <c r="U10" s="44" t="s">
        <v>81</v>
      </c>
      <c r="V10" s="41"/>
      <c r="W10" s="41" t="s">
        <v>43</v>
      </c>
      <c r="X10" s="41">
        <f t="shared" si="0"/>
        <v>0</v>
      </c>
      <c r="Y10" s="41">
        <f t="shared" si="4"/>
        <v>0</v>
      </c>
      <c r="Z10" s="45"/>
      <c r="AA10" s="41"/>
      <c r="AB10" s="41"/>
      <c r="AC10" s="41">
        <f t="shared" si="5"/>
        <v>0</v>
      </c>
      <c r="AD10" s="41">
        <f t="shared" si="1"/>
        <v>0</v>
      </c>
      <c r="AE10" s="41">
        <f t="shared" si="2"/>
        <v>0</v>
      </c>
      <c r="AF10" s="41">
        <f t="shared" si="3"/>
        <v>0</v>
      </c>
      <c r="AG10" s="41" t="s">
        <v>32</v>
      </c>
    </row>
    <row r="11" ht="253.8" spans="1:34">
      <c r="A11" s="29"/>
      <c r="B11" s="23"/>
      <c r="C11" s="32" t="s">
        <v>82</v>
      </c>
      <c r="D11" s="23"/>
      <c r="E11" s="32" t="s">
        <v>83</v>
      </c>
      <c r="F11" s="23"/>
      <c r="G11" s="32" t="s">
        <v>84</v>
      </c>
      <c r="H11" s="23"/>
      <c r="I11" s="33" t="s">
        <v>36</v>
      </c>
      <c r="J11" s="23"/>
      <c r="K11" s="33" t="s">
        <v>55</v>
      </c>
      <c r="L11" s="23"/>
      <c r="M11" s="33" t="s">
        <v>56</v>
      </c>
      <c r="N11" s="23"/>
      <c r="O11" s="32" t="s">
        <v>85</v>
      </c>
      <c r="P11" s="30"/>
      <c r="Q11" s="32" t="s">
        <v>79</v>
      </c>
      <c r="R11" s="23"/>
      <c r="S11" s="34" t="s">
        <v>86</v>
      </c>
      <c r="T11" s="23"/>
      <c r="U11" s="46" t="s">
        <v>81</v>
      </c>
      <c r="V11" s="23"/>
      <c r="W11" s="33" t="s">
        <v>87</v>
      </c>
      <c r="X11" s="33">
        <f t="shared" si="0"/>
        <v>0</v>
      </c>
      <c r="Y11" s="23">
        <f t="shared" si="4"/>
        <v>0</v>
      </c>
      <c r="Z11" s="36"/>
      <c r="AA11" s="33"/>
      <c r="AB11" s="33"/>
      <c r="AC11" s="23">
        <f t="shared" si="5"/>
        <v>0</v>
      </c>
      <c r="AD11" s="23">
        <f t="shared" si="1"/>
        <v>0</v>
      </c>
      <c r="AE11" s="23">
        <f t="shared" si="2"/>
        <v>0</v>
      </c>
      <c r="AF11" s="23">
        <f t="shared" si="3"/>
        <v>0</v>
      </c>
      <c r="AG11" s="33" t="s">
        <v>32</v>
      </c>
    </row>
    <row r="12" ht="70.5" spans="1:34">
      <c r="A12" s="29"/>
      <c r="B12" s="23"/>
      <c r="C12" s="32" t="s">
        <v>88</v>
      </c>
      <c r="D12" s="23"/>
      <c r="E12" s="32" t="s">
        <v>89</v>
      </c>
      <c r="F12" s="23"/>
      <c r="G12" s="32" t="s">
        <v>89</v>
      </c>
      <c r="H12" s="23"/>
      <c r="I12" s="33" t="s">
        <v>36</v>
      </c>
      <c r="J12" s="23"/>
      <c r="K12" s="33" t="s">
        <v>90</v>
      </c>
      <c r="L12" s="23"/>
      <c r="M12" s="33" t="s">
        <v>91</v>
      </c>
      <c r="N12" s="23"/>
      <c r="O12" s="32" t="s">
        <v>92</v>
      </c>
      <c r="P12" s="23"/>
      <c r="Q12" s="32" t="s">
        <v>79</v>
      </c>
      <c r="R12" s="23"/>
      <c r="S12" s="32" t="s">
        <v>93</v>
      </c>
      <c r="T12" s="23"/>
      <c r="U12" s="34" t="s">
        <v>81</v>
      </c>
      <c r="V12" s="23"/>
      <c r="W12" s="33" t="s">
        <v>43</v>
      </c>
      <c r="X12" s="33">
        <f t="shared" si="0"/>
        <v>0</v>
      </c>
      <c r="Y12" s="23">
        <f t="shared" si="4"/>
        <v>0</v>
      </c>
      <c r="Z12" s="36"/>
      <c r="AA12" s="33"/>
      <c r="AB12" s="33"/>
      <c r="AC12" s="23">
        <f t="shared" si="5"/>
        <v>0</v>
      </c>
      <c r="AD12" s="23">
        <f t="shared" si="1"/>
        <v>0</v>
      </c>
      <c r="AE12" s="23">
        <f t="shared" si="2"/>
        <v>0</v>
      </c>
      <c r="AF12" s="23">
        <f t="shared" si="3"/>
        <v>0</v>
      </c>
      <c r="AG12" s="33" t="s">
        <v>32</v>
      </c>
    </row>
    <row r="13" spans="1:34">
      <c r="Z13" s="3">
        <f>SUM(Z5:Z12)</f>
        <v>0</v>
      </c>
    </row>
    <row r="14" spans="1:34">
      <c r="Z14" s="3">
        <f>Z13/8</f>
        <v>0</v>
      </c>
    </row>
  </sheetData>
  <mergeCells count="22">
    <mergeCell ref="A1:AG1"/>
    <mergeCell ref="B2:C2"/>
    <mergeCell ref="D2:G2"/>
    <mergeCell ref="H2:O2"/>
    <mergeCell ref="P2:U2"/>
    <mergeCell ref="B3:C3"/>
    <mergeCell ref="D3:E3"/>
    <mergeCell ref="F3:G3"/>
    <mergeCell ref="H3:I3"/>
    <mergeCell ref="J3:K3"/>
    <mergeCell ref="L3:M3"/>
    <mergeCell ref="P3:Q3"/>
    <mergeCell ref="R3:S3"/>
    <mergeCell ref="T3:U3"/>
    <mergeCell ref="A2:A4"/>
    <mergeCell ref="AG2:AG3"/>
    <mergeCell ref="AH2:AH3"/>
    <mergeCell ref="AC2:AD3"/>
    <mergeCell ref="AE2:AF3"/>
    <mergeCell ref="V2:W3"/>
    <mergeCell ref="X2:Y3"/>
    <mergeCell ref="Z2:AB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李文健</cp:lastModifiedBy>
  <dcterms:created xsi:type="dcterms:W3CDTF">2023-05-12T11:15:00Z</dcterms:created>
  <dcterms:modified xsi:type="dcterms:W3CDTF">2026-04-18T10:51:57Z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E4BFD82A3BE544338A26766B4C79E394_13</vt:lpwstr>
  </property>
  <property fmtid="{D5CDD505-2E9C-101B-9397-08002B2CF9AE}" pid="4" name="CalculationRule">
    <vt:i4>0</vt:i4>
  </property>
</Properties>
</file>